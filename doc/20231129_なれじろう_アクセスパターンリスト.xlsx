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2182258\Documents\00_project\20231025_なれじろうWEB版\"/>
    </mc:Choice>
  </mc:AlternateContent>
  <bookViews>
    <workbookView xWindow="0" yWindow="0" windowWidth="28800" windowHeight="10875" firstSheet="1" activeTab="1"/>
  </bookViews>
  <sheets>
    <sheet name="GraphQL-API_DB設計" sheetId="7" r:id="rId1"/>
    <sheet name="アクセスパターンリスト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8" l="1"/>
  <c r="F29" i="8"/>
  <c r="G27" i="8"/>
  <c r="F27" i="8"/>
  <c r="G18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8" i="8"/>
  <c r="G26" i="8"/>
  <c r="G25" i="8"/>
  <c r="G24" i="8"/>
  <c r="G23" i="8"/>
  <c r="G22" i="8"/>
  <c r="G21" i="8"/>
  <c r="G20" i="8"/>
  <c r="G19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F33" i="8" l="1"/>
  <c r="F24" i="8" l="1"/>
  <c r="F25" i="8"/>
  <c r="F26" i="8"/>
  <c r="F28" i="8"/>
  <c r="F23" i="8"/>
  <c r="Q20" i="7" l="1"/>
  <c r="Q19" i="7"/>
  <c r="Q18" i="7"/>
</calcChain>
</file>

<file path=xl/sharedStrings.xml><?xml version="1.0" encoding="utf-8"?>
<sst xmlns="http://schemas.openxmlformats.org/spreadsheetml/2006/main" count="1352" uniqueCount="341">
  <si>
    <t>ロード時</t>
    <rPh sb="3" eb="4">
      <t>ジ</t>
    </rPh>
    <phoneticPr fontId="1"/>
  </si>
  <si>
    <t>なれっじ一覧画面</t>
    <rPh sb="4" eb="6">
      <t>イチラン</t>
    </rPh>
    <rPh sb="6" eb="8">
      <t>ガメン</t>
    </rPh>
    <phoneticPr fontId="1"/>
  </si>
  <si>
    <t>Knowledges</t>
    <phoneticPr fontId="1"/>
  </si>
  <si>
    <t>getKnowledges</t>
    <phoneticPr fontId="1"/>
  </si>
  <si>
    <t>getKnowledgeById</t>
    <phoneticPr fontId="1"/>
  </si>
  <si>
    <t>Phase1</t>
    <phoneticPr fontId="1"/>
  </si>
  <si>
    <t>アクセスパターン</t>
    <phoneticPr fontId="1"/>
  </si>
  <si>
    <t>個別なれっじリンク押下</t>
    <rPh sb="0" eb="2">
      <t>コベツ</t>
    </rPh>
    <rPh sb="9" eb="11">
      <t>オウカ</t>
    </rPh>
    <phoneticPr fontId="1"/>
  </si>
  <si>
    <t>なれっじ詳細モーダル表示</t>
    <rPh sb="4" eb="6">
      <t>ショウサイ</t>
    </rPh>
    <rPh sb="10" eb="12">
      <t>ヒョウジ</t>
    </rPh>
    <phoneticPr fontId="1"/>
  </si>
  <si>
    <t>PK</t>
    <phoneticPr fontId="1"/>
  </si>
  <si>
    <t>SK</t>
    <phoneticPr fontId="1"/>
  </si>
  <si>
    <t>knowledge_id</t>
    <phoneticPr fontId="1"/>
  </si>
  <si>
    <t>-</t>
    <phoneticPr fontId="1"/>
  </si>
  <si>
    <t>カテゴリ一覧取得</t>
    <rPh sb="4" eb="6">
      <t>イチラン</t>
    </rPh>
    <rPh sb="6" eb="8">
      <t>シュトク</t>
    </rPh>
    <phoneticPr fontId="1"/>
  </si>
  <si>
    <t>なれっじ一覧取得</t>
    <rPh sb="4" eb="6">
      <t>イチラン</t>
    </rPh>
    <rPh sb="6" eb="8">
      <t>シュトク</t>
    </rPh>
    <phoneticPr fontId="1"/>
  </si>
  <si>
    <t>Categories</t>
    <phoneticPr fontId="1"/>
  </si>
  <si>
    <t>Entity</t>
    <phoneticPr fontId="1"/>
  </si>
  <si>
    <t>getCategories</t>
    <phoneticPr fontId="1"/>
  </si>
  <si>
    <t>なれっじ一覧取得 w/条件</t>
    <rPh sb="4" eb="6">
      <t>イチラン</t>
    </rPh>
    <rPh sb="6" eb="8">
      <t>シュトク</t>
    </rPh>
    <rPh sb="11" eb="13">
      <t>ジョウケン</t>
    </rPh>
    <phoneticPr fontId="1"/>
  </si>
  <si>
    <t>カテゴリ大選択</t>
    <rPh sb="4" eb="5">
      <t>ダイ</t>
    </rPh>
    <rPh sb="5" eb="7">
      <t>センタク</t>
    </rPh>
    <phoneticPr fontId="1"/>
  </si>
  <si>
    <t>GSI</t>
    <phoneticPr fontId="1"/>
  </si>
  <si>
    <t>cat_1</t>
    <phoneticPr fontId="1"/>
  </si>
  <si>
    <t>カテゴリ中選択</t>
    <rPh sb="4" eb="5">
      <t>チュウ</t>
    </rPh>
    <rPh sb="5" eb="7">
      <t>センタク</t>
    </rPh>
    <phoneticPr fontId="1"/>
  </si>
  <si>
    <t>カテゴリ小選択</t>
    <rPh sb="4" eb="5">
      <t>ショウ</t>
    </rPh>
    <rPh sb="5" eb="7">
      <t>センタク</t>
    </rPh>
    <phoneticPr fontId="1"/>
  </si>
  <si>
    <t>cat_2</t>
    <phoneticPr fontId="1"/>
  </si>
  <si>
    <t>cat_3</t>
    <phoneticPr fontId="1"/>
  </si>
  <si>
    <t>revised_at</t>
    <phoneticPr fontId="1"/>
  </si>
  <si>
    <t>Parameters</t>
    <phoneticPr fontId="1"/>
  </si>
  <si>
    <t>{knowledge_id}</t>
    <phoneticPr fontId="1"/>
  </si>
  <si>
    <t>Primary Table</t>
    <phoneticPr fontId="1"/>
  </si>
  <si>
    <t>UseCase</t>
    <phoneticPr fontId="1"/>
  </si>
  <si>
    <t>Event</t>
    <phoneticPr fontId="1"/>
  </si>
  <si>
    <t>Page</t>
    <phoneticPr fontId="1"/>
  </si>
  <si>
    <t>Phase</t>
    <phoneticPr fontId="1"/>
  </si>
  <si>
    <t>カテゴリ複数選択</t>
    <rPh sb="4" eb="6">
      <t>フクスウ</t>
    </rPh>
    <rPh sb="6" eb="8">
      <t>センタク</t>
    </rPh>
    <phoneticPr fontId="1"/>
  </si>
  <si>
    <t>Request</t>
    <phoneticPr fontId="1"/>
  </si>
  <si>
    <t>Response</t>
    <phoneticPr fontId="1"/>
  </si>
  <si>
    <t>Key Conditions</t>
    <phoneticPr fontId="1"/>
  </si>
  <si>
    <t>Query</t>
    <phoneticPr fontId="1"/>
  </si>
  <si>
    <t>FilterExpression</t>
  </si>
  <si>
    <t>Order By</t>
    <phoneticPr fontId="1"/>
  </si>
  <si>
    <t>ProjectionExpression</t>
    <phoneticPr fontId="1"/>
  </si>
  <si>
    <t>TableName/IndexName</t>
    <phoneticPr fontId="1"/>
  </si>
  <si>
    <t>List(*)</t>
    <phoneticPr fontId="1"/>
  </si>
  <si>
    <t>GetItem</t>
    <phoneticPr fontId="1"/>
  </si>
  <si>
    <t>cat_1 = :cat_id</t>
    <phoneticPr fontId="1"/>
  </si>
  <si>
    <t>cat_2 = :cat_id</t>
  </si>
  <si>
    <t>cat_3 = :cat_id</t>
  </si>
  <si>
    <t>knowledge_id = :knowledge_id</t>
    <phoneticPr fontId="1"/>
  </si>
  <si>
    <t>Phase2</t>
  </si>
  <si>
    <t>operation</t>
    <phoneticPr fontId="1"/>
  </si>
  <si>
    <t>Phase1</t>
    <phoneticPr fontId="1"/>
  </si>
  <si>
    <t>なれっじ更新画面</t>
    <rPh sb="4" eb="6">
      <t>コウシン</t>
    </rPh>
    <rPh sb="6" eb="8">
      <t>ガメン</t>
    </rPh>
    <phoneticPr fontId="1"/>
  </si>
  <si>
    <t>更新ボタン押下時</t>
    <rPh sb="0" eb="2">
      <t>コウシン</t>
    </rPh>
    <rPh sb="5" eb="7">
      <t>オウカ</t>
    </rPh>
    <rPh sb="7" eb="8">
      <t>ジ</t>
    </rPh>
    <phoneticPr fontId="1"/>
  </si>
  <si>
    <t>なれっじ更新</t>
    <rPh sb="4" eb="6">
      <t>コウシン</t>
    </rPh>
    <phoneticPr fontId="1"/>
  </si>
  <si>
    <t>getUpdates</t>
    <phoneticPr fontId="1"/>
  </si>
  <si>
    <t>なれっじ削除画面</t>
    <rPh sb="4" eb="6">
      <t>サクジョ</t>
    </rPh>
    <rPh sb="6" eb="8">
      <t>ガメン</t>
    </rPh>
    <phoneticPr fontId="1"/>
  </si>
  <si>
    <t>削除画面OKボタン押下時</t>
    <rPh sb="0" eb="2">
      <t>サクジョ</t>
    </rPh>
    <rPh sb="2" eb="4">
      <t>ガメン</t>
    </rPh>
    <rPh sb="9" eb="11">
      <t>オウカ</t>
    </rPh>
    <rPh sb="11" eb="12">
      <t>ジ</t>
    </rPh>
    <phoneticPr fontId="1"/>
  </si>
  <si>
    <t>なれっじ削除</t>
    <rPh sb="4" eb="6">
      <t>サクジョ</t>
    </rPh>
    <phoneticPr fontId="1"/>
  </si>
  <si>
    <t>getDeletes</t>
    <phoneticPr fontId="1"/>
  </si>
  <si>
    <t>なれっじ登録画面</t>
    <rPh sb="4" eb="6">
      <t>トウロク</t>
    </rPh>
    <rPh sb="6" eb="8">
      <t>ガメン</t>
    </rPh>
    <phoneticPr fontId="1"/>
  </si>
  <si>
    <t>新規登録ボタン押下時</t>
    <rPh sb="0" eb="2">
      <t>シンキ</t>
    </rPh>
    <rPh sb="2" eb="4">
      <t>トウロク</t>
    </rPh>
    <rPh sb="7" eb="9">
      <t>オウカ</t>
    </rPh>
    <rPh sb="9" eb="10">
      <t>ジ</t>
    </rPh>
    <phoneticPr fontId="1"/>
  </si>
  <si>
    <t>なれっじ登録</t>
    <rPh sb="4" eb="6">
      <t>トウロク</t>
    </rPh>
    <phoneticPr fontId="1"/>
  </si>
  <si>
    <t>Knowledges</t>
    <phoneticPr fontId="1"/>
  </si>
  <si>
    <t>カテゴリ登録</t>
    <rPh sb="4" eb="6">
      <t>トウロク</t>
    </rPh>
    <phoneticPr fontId="1"/>
  </si>
  <si>
    <t>-</t>
    <phoneticPr fontId="1"/>
  </si>
  <si>
    <t>getKnowledgeCreates</t>
    <phoneticPr fontId="1"/>
  </si>
  <si>
    <t>getCategoryCreates</t>
    <phoneticPr fontId="1"/>
  </si>
  <si>
    <t>ユーザー管理選択</t>
    <rPh sb="4" eb="6">
      <t>カンリ</t>
    </rPh>
    <rPh sb="6" eb="8">
      <t>センタク</t>
    </rPh>
    <phoneticPr fontId="1"/>
  </si>
  <si>
    <t>ユーザー情報一覧取得</t>
    <rPh sb="4" eb="6">
      <t>ジョウホウ</t>
    </rPh>
    <rPh sb="6" eb="8">
      <t>イチラン</t>
    </rPh>
    <rPh sb="8" eb="10">
      <t>シュトク</t>
    </rPh>
    <phoneticPr fontId="1"/>
  </si>
  <si>
    <t>getUsers</t>
    <phoneticPr fontId="1"/>
  </si>
  <si>
    <t>カテゴリ管理選択</t>
    <rPh sb="4" eb="6">
      <t>カンリ</t>
    </rPh>
    <rPh sb="6" eb="8">
      <t>センタク</t>
    </rPh>
    <phoneticPr fontId="1"/>
  </si>
  <si>
    <t>getKnowledgeCategories</t>
    <phoneticPr fontId="1"/>
  </si>
  <si>
    <t>キーワード検索時</t>
    <rPh sb="5" eb="7">
      <t>ケンサク</t>
    </rPh>
    <rPh sb="7" eb="8">
      <t>トキ</t>
    </rPh>
    <phoneticPr fontId="1"/>
  </si>
  <si>
    <t>getKnowledgekeyword</t>
    <phoneticPr fontId="1"/>
  </si>
  <si>
    <t>{key_word}</t>
    <phoneticPr fontId="1"/>
  </si>
  <si>
    <t>knowledgeid</t>
    <phoneticPr fontId="1"/>
  </si>
  <si>
    <t>表示件数選択</t>
    <rPh sb="0" eb="2">
      <t>ヒョウジ</t>
    </rPh>
    <rPh sb="2" eb="4">
      <t>ケンスウ</t>
    </rPh>
    <rPh sb="4" eb="6">
      <t>センタク</t>
    </rPh>
    <phoneticPr fontId="1"/>
  </si>
  <si>
    <t>{category_id}</t>
    <phoneticPr fontId="1"/>
  </si>
  <si>
    <t>投稿日検索</t>
    <rPh sb="0" eb="2">
      <t>トウコウ</t>
    </rPh>
    <rPh sb="2" eb="3">
      <t>ビ</t>
    </rPh>
    <rPh sb="3" eb="5">
      <t>ケンサク</t>
    </rPh>
    <phoneticPr fontId="1"/>
  </si>
  <si>
    <t>getPostDay</t>
    <phoneticPr fontId="1"/>
  </si>
  <si>
    <t>{Post_Day}</t>
    <phoneticPr fontId="1"/>
  </si>
  <si>
    <t>更新日検索</t>
    <rPh sb="0" eb="3">
      <t>コウシンビ</t>
    </rPh>
    <rPh sb="3" eb="5">
      <t>ケンサク</t>
    </rPh>
    <phoneticPr fontId="1"/>
  </si>
  <si>
    <t>getUpdateDay</t>
    <phoneticPr fontId="1"/>
  </si>
  <si>
    <t>{Update_Day}</t>
    <phoneticPr fontId="1"/>
  </si>
  <si>
    <t>ページ数選択</t>
    <rPh sb="3" eb="4">
      <t>カズ</t>
    </rPh>
    <rPh sb="4" eb="6">
      <t>センタク</t>
    </rPh>
    <phoneticPr fontId="1"/>
  </si>
  <si>
    <t>修正ボタン選択</t>
    <rPh sb="0" eb="2">
      <t>シュウセイ</t>
    </rPh>
    <rPh sb="5" eb="7">
      <t>センタク</t>
    </rPh>
    <phoneticPr fontId="1"/>
  </si>
  <si>
    <t>{attend)</t>
    <phoneticPr fontId="1"/>
  </si>
  <si>
    <t>Phase3</t>
    <phoneticPr fontId="1"/>
  </si>
  <si>
    <t>クイックフィルター選択</t>
    <rPh sb="9" eb="11">
      <t>センタク</t>
    </rPh>
    <phoneticPr fontId="1"/>
  </si>
  <si>
    <t>各フィルター取得</t>
    <rPh sb="0" eb="1">
      <t>カク</t>
    </rPh>
    <rPh sb="6" eb="8">
      <t>シュトク</t>
    </rPh>
    <phoneticPr fontId="1"/>
  </si>
  <si>
    <t>getFilteres</t>
    <phoneticPr fontId="1"/>
  </si>
  <si>
    <t>Filteres</t>
    <phoneticPr fontId="1"/>
  </si>
  <si>
    <t>フィルター管理選択</t>
    <rPh sb="5" eb="7">
      <t>カンリ</t>
    </rPh>
    <rPh sb="7" eb="9">
      <t>センタク</t>
    </rPh>
    <phoneticPr fontId="1"/>
  </si>
  <si>
    <t>フィルター一覧取得</t>
    <rPh sb="5" eb="7">
      <t>イチラン</t>
    </rPh>
    <rPh sb="7" eb="9">
      <t>シュトク</t>
    </rPh>
    <phoneticPr fontId="1"/>
  </si>
  <si>
    <t>getFilteresManage</t>
    <phoneticPr fontId="1"/>
  </si>
  <si>
    <t>フィルター管理画面</t>
    <rPh sb="5" eb="7">
      <t>カンリ</t>
    </rPh>
    <rPh sb="7" eb="9">
      <t>ガメン</t>
    </rPh>
    <phoneticPr fontId="1"/>
  </si>
  <si>
    <t>編集ボタン選択</t>
    <rPh sb="0" eb="2">
      <t>ヘンシュウ</t>
    </rPh>
    <rPh sb="5" eb="7">
      <t>センタク</t>
    </rPh>
    <phoneticPr fontId="1"/>
  </si>
  <si>
    <t>削除ボタン選択</t>
    <rPh sb="0" eb="2">
      <t>サクジョ</t>
    </rPh>
    <rPh sb="5" eb="7">
      <t>センタク</t>
    </rPh>
    <phoneticPr fontId="1"/>
  </si>
  <si>
    <t>ランキング管理選択</t>
    <rPh sb="5" eb="7">
      <t>カンリ</t>
    </rPh>
    <rPh sb="7" eb="9">
      <t>センタク</t>
    </rPh>
    <phoneticPr fontId="1"/>
  </si>
  <si>
    <t>ランキング管理一覧取得</t>
    <rPh sb="5" eb="7">
      <t>カンリ</t>
    </rPh>
    <rPh sb="7" eb="9">
      <t>イチラン</t>
    </rPh>
    <rPh sb="9" eb="11">
      <t>シュトク</t>
    </rPh>
    <phoneticPr fontId="1"/>
  </si>
  <si>
    <t>getRankingManage</t>
    <phoneticPr fontId="1"/>
  </si>
  <si>
    <t>Ranking</t>
    <phoneticPr fontId="1"/>
  </si>
  <si>
    <t>ランキング画面</t>
    <rPh sb="5" eb="7">
      <t>ガメン</t>
    </rPh>
    <phoneticPr fontId="1"/>
  </si>
  <si>
    <t>集計期間選択</t>
    <rPh sb="4" eb="6">
      <t>センタク</t>
    </rPh>
    <phoneticPr fontId="1"/>
  </si>
  <si>
    <t>投稿ランキング</t>
    <rPh sb="0" eb="2">
      <t>トウコウ</t>
    </rPh>
    <phoneticPr fontId="1"/>
  </si>
  <si>
    <t>投稿ランキング表示</t>
    <rPh sb="0" eb="2">
      <t>トウコウ</t>
    </rPh>
    <rPh sb="7" eb="9">
      <t>ヒョウジ</t>
    </rPh>
    <phoneticPr fontId="1"/>
  </si>
  <si>
    <t>getPostsRanking</t>
    <phoneticPr fontId="1"/>
  </si>
  <si>
    <t>参照ランキング</t>
    <rPh sb="0" eb="2">
      <t>サンショウ</t>
    </rPh>
    <phoneticPr fontId="1"/>
  </si>
  <si>
    <t>参照ランキング表示</t>
    <rPh sb="0" eb="2">
      <t>サンショウ</t>
    </rPh>
    <rPh sb="7" eb="9">
      <t>ヒョウジ</t>
    </rPh>
    <phoneticPr fontId="1"/>
  </si>
  <si>
    <t>getReferenceRanking</t>
    <phoneticPr fontId="1"/>
  </si>
  <si>
    <t>検索ランキング</t>
    <rPh sb="0" eb="2">
      <t>ケンサク</t>
    </rPh>
    <phoneticPr fontId="1"/>
  </si>
  <si>
    <t>検索ランキング表示</t>
    <rPh sb="0" eb="2">
      <t>ケンサク</t>
    </rPh>
    <rPh sb="7" eb="9">
      <t>ヒョウジ</t>
    </rPh>
    <phoneticPr fontId="1"/>
  </si>
  <si>
    <t>getSearchRanking</t>
    <phoneticPr fontId="1"/>
  </si>
  <si>
    <t>なれっじ(867) ∨</t>
  </si>
  <si>
    <t>カテゴリー大</t>
    <rPh sb="5" eb="6">
      <t>ダイ</t>
    </rPh>
    <phoneticPr fontId="1"/>
  </si>
  <si>
    <t>カテゴリー中</t>
    <rPh sb="5" eb="6">
      <t>チュウ</t>
    </rPh>
    <phoneticPr fontId="1"/>
  </si>
  <si>
    <t>カテゴリー小</t>
    <rPh sb="5" eb="6">
      <t>ショウ</t>
    </rPh>
    <phoneticPr fontId="1"/>
  </si>
  <si>
    <t>1件</t>
    <rPh sb="1" eb="2">
      <t>ケン</t>
    </rPh>
    <phoneticPr fontId="1"/>
  </si>
  <si>
    <t>カテゴリ更新</t>
    <rPh sb="4" eb="6">
      <t>コウシン</t>
    </rPh>
    <phoneticPr fontId="1"/>
  </si>
  <si>
    <t>カテゴリ削除</t>
    <rPh sb="4" eb="6">
      <t>サクジョ</t>
    </rPh>
    <phoneticPr fontId="1"/>
  </si>
  <si>
    <t>Knowledges/Categories</t>
    <phoneticPr fontId="1"/>
  </si>
  <si>
    <t>新規登録ボタン選択</t>
    <rPh sb="0" eb="2">
      <t>シンキ</t>
    </rPh>
    <rPh sb="2" eb="4">
      <t>トウロク</t>
    </rPh>
    <rPh sb="7" eb="9">
      <t>センタク</t>
    </rPh>
    <phoneticPr fontId="1"/>
  </si>
  <si>
    <t>ハイパーリンク</t>
    <phoneticPr fontId="1"/>
  </si>
  <si>
    <t>フィルターの削除</t>
    <rPh sb="6" eb="8">
      <t>サクジョ</t>
    </rPh>
    <phoneticPr fontId="1"/>
  </si>
  <si>
    <t>フィルターの新規登録</t>
    <rPh sb="6" eb="8">
      <t>シンキ</t>
    </rPh>
    <rPh sb="8" eb="10">
      <t>トウロク</t>
    </rPh>
    <phoneticPr fontId="1"/>
  </si>
  <si>
    <t>フィルターの更新</t>
    <rPh sb="6" eb="8">
      <t>コウシン</t>
    </rPh>
    <phoneticPr fontId="1"/>
  </si>
  <si>
    <t>{filter_id}</t>
    <phoneticPr fontId="1"/>
  </si>
  <si>
    <t>category_id</t>
    <phoneticPr fontId="1"/>
  </si>
  <si>
    <t>cat_type</t>
    <phoneticPr fontId="1"/>
  </si>
  <si>
    <t>LSI</t>
    <phoneticPr fontId="1"/>
  </si>
  <si>
    <t>SK</t>
    <phoneticPr fontId="1"/>
  </si>
  <si>
    <t>updateKnowledge</t>
    <phoneticPr fontId="1"/>
  </si>
  <si>
    <t>createCategory</t>
    <phoneticPr fontId="1"/>
  </si>
  <si>
    <t>PutItem</t>
    <phoneticPr fontId="1"/>
  </si>
  <si>
    <t>なれっじ詳細画面表示</t>
    <rPh sb="4" eb="6">
      <t>ショウサイ</t>
    </rPh>
    <rPh sb="6" eb="8">
      <t>ガメン</t>
    </rPh>
    <rPh sb="8" eb="10">
      <t>ヒョウジ</t>
    </rPh>
    <phoneticPr fontId="1"/>
  </si>
  <si>
    <t>cat_type-id-index</t>
    <phoneticPr fontId="1"/>
  </si>
  <si>
    <t>cat_type = 1</t>
    <phoneticPr fontId="1"/>
  </si>
  <si>
    <t>ScanIndexForward</t>
    <phoneticPr fontId="1"/>
  </si>
  <si>
    <t>なれっじ修正画面</t>
    <rPh sb="4" eb="6">
      <t>シュウセイ</t>
    </rPh>
    <rPh sb="6" eb="8">
      <t>ガメン</t>
    </rPh>
    <phoneticPr fontId="1"/>
  </si>
  <si>
    <t>Result</t>
    <phoneticPr fontId="1"/>
  </si>
  <si>
    <t>getCat1Categories</t>
    <phoneticPr fontId="1"/>
  </si>
  <si>
    <t>cat_type = 1</t>
    <phoneticPr fontId="1"/>
  </si>
  <si>
    <t>knowledge_id = ***</t>
    <phoneticPr fontId="1"/>
  </si>
  <si>
    <t>getCat2Categories</t>
  </si>
  <si>
    <t>cat_type = 2</t>
  </si>
  <si>
    <t>getCat3Categories</t>
  </si>
  <si>
    <t>cat_type = 3</t>
  </si>
  <si>
    <t>なれっじ更新</t>
    <rPh sb="4" eb="6">
      <t>コウシン</t>
    </rPh>
    <phoneticPr fontId="1"/>
  </si>
  <si>
    <t>特定なれっじ更新</t>
    <rPh sb="0" eb="2">
      <t>トクテイ</t>
    </rPh>
    <rPh sb="6" eb="8">
      <t>コウシン</t>
    </rPh>
    <phoneticPr fontId="1"/>
  </si>
  <si>
    <t>特定なれっじ取得</t>
    <rPh sb="0" eb="2">
      <t>トクテイ</t>
    </rPh>
    <rPh sb="6" eb="8">
      <t>シュトク</t>
    </rPh>
    <phoneticPr fontId="1"/>
  </si>
  <si>
    <t>一覧</t>
    <rPh sb="0" eb="2">
      <t>イチラン</t>
    </rPh>
    <phoneticPr fontId="1"/>
  </si>
  <si>
    <t>一件</t>
    <rPh sb="0" eb="2">
      <t>イッケン</t>
    </rPh>
    <phoneticPr fontId="1"/>
  </si>
  <si>
    <t>削除画面OKボタン押下</t>
    <rPh sb="0" eb="2">
      <t>サクジョ</t>
    </rPh>
    <rPh sb="2" eb="4">
      <t>ガメン</t>
    </rPh>
    <rPh sb="9" eb="11">
      <t>オウカ</t>
    </rPh>
    <phoneticPr fontId="1"/>
  </si>
  <si>
    <t>なれっじ削除画面</t>
    <rPh sb="4" eb="6">
      <t>サクジョ</t>
    </rPh>
    <rPh sb="6" eb="8">
      <t>ガメン</t>
    </rPh>
    <phoneticPr fontId="1"/>
  </si>
  <si>
    <t>deleteKnowledge</t>
    <phoneticPr fontId="1"/>
  </si>
  <si>
    <t>カテゴリ登録画面</t>
    <rPh sb="4" eb="6">
      <t>トウロク</t>
    </rPh>
    <rPh sb="6" eb="8">
      <t>ガメン</t>
    </rPh>
    <phoneticPr fontId="1"/>
  </si>
  <si>
    <t>登録ボタン押下</t>
    <rPh sb="0" eb="2">
      <t>トウロク</t>
    </rPh>
    <rPh sb="5" eb="7">
      <t>オウカ</t>
    </rPh>
    <phoneticPr fontId="1"/>
  </si>
  <si>
    <t>カテゴリ新規登録</t>
    <rPh sb="4" eb="6">
      <t>シンキ</t>
    </rPh>
    <rPh sb="6" eb="8">
      <t>トウロク</t>
    </rPh>
    <phoneticPr fontId="1"/>
  </si>
  <si>
    <t>createKnowledge</t>
    <phoneticPr fontId="1"/>
  </si>
  <si>
    <t>なれっじ新規登録</t>
    <rPh sb="4" eb="6">
      <t>シンキ</t>
    </rPh>
    <rPh sb="6" eb="8">
      <t>トウロク</t>
    </rPh>
    <phoneticPr fontId="1"/>
  </si>
  <si>
    <t>getKnowledgeBykeyword</t>
    <phoneticPr fontId="1"/>
  </si>
  <si>
    <t>-</t>
  </si>
  <si>
    <t>-</t>
    <phoneticPr fontId="1"/>
  </si>
  <si>
    <t>なれっじ一覧</t>
    <rPh sb="4" eb="6">
      <t>イチラン</t>
    </rPh>
    <phoneticPr fontId="1"/>
  </si>
  <si>
    <t>なれっじ1件</t>
    <rPh sb="5" eb="6">
      <t>ケン</t>
    </rPh>
    <phoneticPr fontId="1"/>
  </si>
  <si>
    <t>revised_at</t>
  </si>
  <si>
    <t>カテゴリ一覧</t>
    <rPh sb="4" eb="6">
      <t>イチラン</t>
    </rPh>
    <phoneticPr fontId="1"/>
  </si>
  <si>
    <t>ユーザ一覧</t>
    <rPh sb="3" eb="5">
      <t>イチラン</t>
    </rPh>
    <phoneticPr fontId="1"/>
  </si>
  <si>
    <t>表示件数</t>
    <rPh sb="0" eb="2">
      <t>ヒョウジ</t>
    </rPh>
    <rPh sb="2" eb="4">
      <t>ケンスウ</t>
    </rPh>
    <phoneticPr fontId="1"/>
  </si>
  <si>
    <t>cat_type-id-index</t>
  </si>
  <si>
    <t>Query</t>
  </si>
  <si>
    <t>なれっじ一覧画面表示</t>
    <rPh sb="4" eb="6">
      <t>イチラン</t>
    </rPh>
    <rPh sb="6" eb="8">
      <t>ガメン</t>
    </rPh>
    <rPh sb="8" eb="10">
      <t>ヒョウジ</t>
    </rPh>
    <phoneticPr fontId="1"/>
  </si>
  <si>
    <t>カテゴリ大一覧表示</t>
    <rPh sb="4" eb="5">
      <t>ダイ</t>
    </rPh>
    <rPh sb="5" eb="7">
      <t>イチラン</t>
    </rPh>
    <rPh sb="7" eb="9">
      <t>ヒョウジ</t>
    </rPh>
    <phoneticPr fontId="1"/>
  </si>
  <si>
    <t>カテゴリ中一覧表示</t>
    <rPh sb="4" eb="5">
      <t>チュウ</t>
    </rPh>
    <rPh sb="5" eb="7">
      <t>イチラン</t>
    </rPh>
    <rPh sb="7" eb="9">
      <t>ヒョウジ</t>
    </rPh>
    <phoneticPr fontId="1"/>
  </si>
  <si>
    <t>カテゴリ小一覧表示</t>
    <rPh sb="4" eb="5">
      <t>ショウ</t>
    </rPh>
    <rPh sb="5" eb="7">
      <t>イチラン</t>
    </rPh>
    <rPh sb="7" eb="9">
      <t>ヒョウジ</t>
    </rPh>
    <phoneticPr fontId="1"/>
  </si>
  <si>
    <t>カテゴリ大プルダウン押下</t>
    <rPh sb="4" eb="5">
      <t>ダイ</t>
    </rPh>
    <rPh sb="10" eb="12">
      <t>オウカ</t>
    </rPh>
    <phoneticPr fontId="1"/>
  </si>
  <si>
    <t>カテゴリ中プルダウン押下</t>
    <rPh sb="4" eb="5">
      <t>チュウ</t>
    </rPh>
    <rPh sb="10" eb="12">
      <t>オウカ</t>
    </rPh>
    <phoneticPr fontId="1"/>
  </si>
  <si>
    <t>カテゴリ小プルダウン押下</t>
    <rPh sb="4" eb="5">
      <t>ショウ</t>
    </rPh>
    <rPh sb="10" eb="12">
      <t>オウカ</t>
    </rPh>
    <phoneticPr fontId="1"/>
  </si>
  <si>
    <t>サイドバー</t>
    <phoneticPr fontId="1"/>
  </si>
  <si>
    <t>ユーザー管理画面表示</t>
    <rPh sb="4" eb="6">
      <t>カンリ</t>
    </rPh>
    <rPh sb="6" eb="8">
      <t>ガメン</t>
    </rPh>
    <rPh sb="8" eb="10">
      <t>ヒョウジ</t>
    </rPh>
    <phoneticPr fontId="1"/>
  </si>
  <si>
    <t>カテゴリ管理画面表示</t>
    <rPh sb="4" eb="6">
      <t>カンリ</t>
    </rPh>
    <rPh sb="6" eb="8">
      <t>ガメン</t>
    </rPh>
    <rPh sb="8" eb="10">
      <t>ヒョウジ</t>
    </rPh>
    <phoneticPr fontId="1"/>
  </si>
  <si>
    <t>キーワード検索ボタン押下</t>
    <rPh sb="5" eb="7">
      <t>ケンサク</t>
    </rPh>
    <rPh sb="10" eb="12">
      <t>オウカ</t>
    </rPh>
    <phoneticPr fontId="1"/>
  </si>
  <si>
    <t>キーワード検索実行</t>
    <rPh sb="5" eb="7">
      <t>ケンサク</t>
    </rPh>
    <rPh sb="7" eb="9">
      <t>ジッコウ</t>
    </rPh>
    <phoneticPr fontId="1"/>
  </si>
  <si>
    <t>キーワード条件によるなれっじ一覧取得</t>
    <rPh sb="5" eb="7">
      <t>ジョウケン</t>
    </rPh>
    <rPh sb="14" eb="16">
      <t>イチラン</t>
    </rPh>
    <rPh sb="16" eb="18">
      <t>シュトク</t>
    </rPh>
    <phoneticPr fontId="1"/>
  </si>
  <si>
    <t>カテゴリー大一覧取得</t>
    <rPh sb="5" eb="6">
      <t>ダイ</t>
    </rPh>
    <rPh sb="6" eb="8">
      <t>イチラン</t>
    </rPh>
    <rPh sb="8" eb="10">
      <t>シュトク</t>
    </rPh>
    <phoneticPr fontId="1"/>
  </si>
  <si>
    <t>カテゴリー中一覧取得</t>
    <rPh sb="5" eb="6">
      <t>チュウ</t>
    </rPh>
    <rPh sb="6" eb="8">
      <t>イチラン</t>
    </rPh>
    <rPh sb="8" eb="10">
      <t>シュトク</t>
    </rPh>
    <phoneticPr fontId="1"/>
  </si>
  <si>
    <t>カテゴリー小一覧取得</t>
    <rPh sb="5" eb="6">
      <t>ショウ</t>
    </rPh>
    <rPh sb="6" eb="8">
      <t>イチラン</t>
    </rPh>
    <rPh sb="8" eb="10">
      <t>シュトク</t>
    </rPh>
    <phoneticPr fontId="1"/>
  </si>
  <si>
    <t>getKnowledgeByUpdatedAt</t>
    <phoneticPr fontId="1"/>
  </si>
  <si>
    <t>cat_1 = :cat_1</t>
    <phoneticPr fontId="1"/>
  </si>
  <si>
    <t>cat_1 = :cat_2</t>
  </si>
  <si>
    <t>cat_1 = :cat_3</t>
  </si>
  <si>
    <t>updated_at</t>
  </si>
  <si>
    <t>条件検索</t>
    <rPh sb="0" eb="2">
      <t>ジョウケン</t>
    </rPh>
    <rPh sb="2" eb="4">
      <t>ケンサク</t>
    </rPh>
    <phoneticPr fontId="1"/>
  </si>
  <si>
    <t>各プルダウン選択</t>
    <rPh sb="0" eb="1">
      <t>カク</t>
    </rPh>
    <rPh sb="6" eb="8">
      <t>センタク</t>
    </rPh>
    <phoneticPr fontId="1"/>
  </si>
  <si>
    <t>プルダウン条件によるなれっじ一覧取得</t>
    <rPh sb="5" eb="7">
      <t>ジョウケン</t>
    </rPh>
    <rPh sb="14" eb="16">
      <t>イチラン</t>
    </rPh>
    <rPh sb="16" eb="18">
      <t>シュトク</t>
    </rPh>
    <phoneticPr fontId="1"/>
  </si>
  <si>
    <t>getKnowledgeBy＊＊＊</t>
    <phoneticPr fontId="1"/>
  </si>
  <si>
    <t>カテゴリ大</t>
    <rPh sb="4" eb="5">
      <t>ダイ</t>
    </rPh>
    <phoneticPr fontId="1"/>
  </si>
  <si>
    <t>カテゴリ中</t>
    <rPh sb="4" eb="5">
      <t>チュウ</t>
    </rPh>
    <phoneticPr fontId="1"/>
  </si>
  <si>
    <t>カテゴリ小</t>
    <rPh sb="4" eb="5">
      <t>ショウ</t>
    </rPh>
    <phoneticPr fontId="1"/>
  </si>
  <si>
    <t>投稿日時</t>
    <rPh sb="0" eb="2">
      <t>トウコウ</t>
    </rPh>
    <rPh sb="2" eb="4">
      <t>ニチジ</t>
    </rPh>
    <phoneticPr fontId="1"/>
  </si>
  <si>
    <t>更新日時</t>
    <rPh sb="0" eb="2">
      <t>コウシン</t>
    </rPh>
    <rPh sb="2" eb="4">
      <t>ニチジ</t>
    </rPh>
    <phoneticPr fontId="1"/>
  </si>
  <si>
    <t>カテゴリ大検索</t>
    <rPh sb="4" eb="5">
      <t>ダイ</t>
    </rPh>
    <rPh sb="5" eb="7">
      <t>ケンサク</t>
    </rPh>
    <phoneticPr fontId="1"/>
  </si>
  <si>
    <t>カテゴリ中検索</t>
    <rPh sb="4" eb="5">
      <t>チュウ</t>
    </rPh>
    <rPh sb="5" eb="7">
      <t>ケンサク</t>
    </rPh>
    <phoneticPr fontId="1"/>
  </si>
  <si>
    <t>カテゴリ小検索</t>
    <rPh sb="4" eb="5">
      <t>ショウ</t>
    </rPh>
    <rPh sb="5" eb="7">
      <t>ケンサク</t>
    </rPh>
    <phoneticPr fontId="1"/>
  </si>
  <si>
    <t>投稿日時検索</t>
    <rPh sb="0" eb="2">
      <t>トウコウ</t>
    </rPh>
    <rPh sb="2" eb="4">
      <t>ニチジ</t>
    </rPh>
    <rPh sb="4" eb="6">
      <t>ケンサク</t>
    </rPh>
    <phoneticPr fontId="1"/>
  </si>
  <si>
    <t>更新日時検索</t>
    <rPh sb="0" eb="2">
      <t>コウシン</t>
    </rPh>
    <rPh sb="2" eb="4">
      <t>ニチジ</t>
    </rPh>
    <rPh sb="4" eb="6">
      <t>ケンサク</t>
    </rPh>
    <phoneticPr fontId="1"/>
  </si>
  <si>
    <t>getKnowledgeByCat1</t>
    <phoneticPr fontId="1"/>
  </si>
  <si>
    <t>getKnowledgeByCat2</t>
  </si>
  <si>
    <t>getKnowledgeByCat3</t>
  </si>
  <si>
    <t>getKnowledgeByCreatedAt</t>
    <phoneticPr fontId="1"/>
  </si>
  <si>
    <t>created_at = ***</t>
    <phoneticPr fontId="1"/>
  </si>
  <si>
    <t>updated_at = ***</t>
    <phoneticPr fontId="1"/>
  </si>
  <si>
    <t>updated_at</t>
    <phoneticPr fontId="1"/>
  </si>
  <si>
    <t>ALL Params</t>
  </si>
  <si>
    <t>ALL Params</t>
    <phoneticPr fontId="1"/>
  </si>
  <si>
    <t>なれっじ1件(登録対象)</t>
    <rPh sb="5" eb="6">
      <t>ケン</t>
    </rPh>
    <rPh sb="7" eb="9">
      <t>トウロク</t>
    </rPh>
    <rPh sb="9" eb="11">
      <t>タイショウ</t>
    </rPh>
    <phoneticPr fontId="1"/>
  </si>
  <si>
    <t>UpdateItem</t>
    <phoneticPr fontId="1"/>
  </si>
  <si>
    <t>Index</t>
    <phoneticPr fontId="1"/>
  </si>
  <si>
    <t>PrimaryKey</t>
    <phoneticPr fontId="1"/>
  </si>
  <si>
    <t>GSI 1</t>
    <phoneticPr fontId="1"/>
  </si>
  <si>
    <t>フィルター一覧</t>
    <rPh sb="5" eb="7">
      <t>イチラン</t>
    </rPh>
    <phoneticPr fontId="1"/>
  </si>
  <si>
    <t>filter_id</t>
    <phoneticPr fontId="1"/>
  </si>
  <si>
    <t>クイックフィルターボタン押下</t>
    <rPh sb="12" eb="14">
      <t>オウカ</t>
    </rPh>
    <phoneticPr fontId="1"/>
  </si>
  <si>
    <t>フィルター管理リンク押下</t>
    <rPh sb="5" eb="7">
      <t>カンリ</t>
    </rPh>
    <rPh sb="10" eb="12">
      <t>オウカ</t>
    </rPh>
    <phoneticPr fontId="1"/>
  </si>
  <si>
    <t>フィルタ管理画面表示</t>
    <rPh sb="4" eb="6">
      <t>カンリ</t>
    </rPh>
    <rPh sb="6" eb="8">
      <t>ガメン</t>
    </rPh>
    <rPh sb="8" eb="10">
      <t>ヒョウジ</t>
    </rPh>
    <phoneticPr fontId="1"/>
  </si>
  <si>
    <t>フィルタ一覧取得</t>
    <rPh sb="4" eb="6">
      <t>イチラン</t>
    </rPh>
    <rPh sb="6" eb="8">
      <t>シュトク</t>
    </rPh>
    <phoneticPr fontId="1"/>
  </si>
  <si>
    <t>条件検索</t>
    <rPh sb="0" eb="2">
      <t>ジョウケン</t>
    </rPh>
    <rPh sb="2" eb="4">
      <t>ケンサク</t>
    </rPh>
    <phoneticPr fontId="1"/>
  </si>
  <si>
    <t>(例)直近1週間以内更新</t>
    <rPh sb="1" eb="2">
      <t>レイ</t>
    </rPh>
    <rPh sb="3" eb="5">
      <t>チョッキン</t>
    </rPh>
    <rPh sb="6" eb="8">
      <t>シュウカン</t>
    </rPh>
    <rPh sb="8" eb="10">
      <t>イナイ</t>
    </rPh>
    <rPh sb="10" eb="12">
      <t>コウシン</t>
    </rPh>
    <phoneticPr fontId="1"/>
  </si>
  <si>
    <t>更新日検索</t>
    <rPh sb="0" eb="3">
      <t>コウシンビ</t>
    </rPh>
    <rPh sb="3" eb="5">
      <t>ケンサク</t>
    </rPh>
    <phoneticPr fontId="1"/>
  </si>
  <si>
    <t>cat2-updated_at-index</t>
  </si>
  <si>
    <t>cat3-updated_at-index</t>
  </si>
  <si>
    <t>updateFilter</t>
    <phoneticPr fontId="1"/>
  </si>
  <si>
    <t>deleteFilter</t>
    <phoneticPr fontId="1"/>
  </si>
  <si>
    <t>createFilter</t>
    <phoneticPr fontId="1"/>
  </si>
  <si>
    <t>filter_id = :filter_id</t>
    <phoneticPr fontId="1"/>
  </si>
  <si>
    <t>フィルター1件</t>
    <rPh sb="6" eb="7">
      <t>ケン</t>
    </rPh>
    <phoneticPr fontId="1"/>
  </si>
  <si>
    <t>NarejiroDevTable</t>
  </si>
  <si>
    <t>NarejiroDevTable</t>
    <phoneticPr fontId="1"/>
  </si>
  <si>
    <t>LSI-1</t>
    <phoneticPr fontId="1"/>
  </si>
  <si>
    <t>LSI-2</t>
  </si>
  <si>
    <t>LSI-3</t>
  </si>
  <si>
    <t>LSI-4</t>
  </si>
  <si>
    <t>id</t>
    <phoneticPr fontId="1"/>
  </si>
  <si>
    <t>id = {id}</t>
    <phoneticPr fontId="1"/>
  </si>
  <si>
    <t>PK(PK)</t>
    <phoneticPr fontId="1"/>
  </si>
  <si>
    <t>SK(SK)</t>
    <phoneticPr fontId="1"/>
  </si>
  <si>
    <t>PK(cat_type)</t>
    <phoneticPr fontId="1"/>
  </si>
  <si>
    <t>SK(id)</t>
    <phoneticPr fontId="1"/>
  </si>
  <si>
    <t>※idはバック側で採番･登録する</t>
    <rPh sb="7" eb="8">
      <t>ガワ</t>
    </rPh>
    <rPh sb="9" eb="11">
      <t>サイバン</t>
    </rPh>
    <rPh sb="12" eb="14">
      <t>トウロク</t>
    </rPh>
    <phoneticPr fontId="1"/>
  </si>
  <si>
    <t>全なれっじ情報</t>
    <rPh sb="0" eb="1">
      <t>ゼン</t>
    </rPh>
    <rPh sb="5" eb="7">
      <t>ジョウホウ</t>
    </rPh>
    <phoneticPr fontId="1"/>
  </si>
  <si>
    <t>Parameters</t>
  </si>
  <si>
    <t>-</t>
    <phoneticPr fontId="1"/>
  </si>
  <si>
    <t>False=降順、True=昇順</t>
    <phoneticPr fontId="1"/>
  </si>
  <si>
    <t>GSI 2</t>
  </si>
  <si>
    <t>PK(cat1)</t>
    <phoneticPr fontId="1"/>
  </si>
  <si>
    <t>cat1-updated_at-index</t>
  </si>
  <si>
    <t>SK(updated_at)</t>
    <phoneticPr fontId="1"/>
  </si>
  <si>
    <t>cat1={id}</t>
    <phoneticPr fontId="1"/>
  </si>
  <si>
    <t>cat2={id}</t>
  </si>
  <si>
    <t>cat3={id}</t>
  </si>
  <si>
    <t>updated_at</t>
    <phoneticPr fontId="1"/>
  </si>
  <si>
    <t>PK(cat2)</t>
    <phoneticPr fontId="1"/>
  </si>
  <si>
    <t>PK(cat3)</t>
    <phoneticPr fontId="1"/>
  </si>
  <si>
    <t>updated_at-index</t>
  </si>
  <si>
    <t>created_at-index</t>
  </si>
  <si>
    <t>PK(updated_at)</t>
    <phoneticPr fontId="1"/>
  </si>
  <si>
    <t>PK(created_at)</t>
    <phoneticPr fontId="1"/>
  </si>
  <si>
    <t>created_at</t>
    <phoneticPr fontId="1"/>
  </si>
  <si>
    <t>カテゴリ+件数表示</t>
    <rPh sb="5" eb="7">
      <t>ケンスウ</t>
    </rPh>
    <rPh sb="7" eb="9">
      <t>ヒョウジ</t>
    </rPh>
    <phoneticPr fontId="1"/>
  </si>
  <si>
    <t>カテゴリ一覧+件数取得</t>
    <rPh sb="4" eb="6">
      <t>イチラン</t>
    </rPh>
    <rPh sb="7" eb="9">
      <t>ケンスウ</t>
    </rPh>
    <rPh sb="9" eb="11">
      <t>シュトク</t>
    </rPh>
    <phoneticPr fontId="1"/>
  </si>
  <si>
    <t>getCategoryWithCount</t>
    <phoneticPr fontId="1"/>
  </si>
  <si>
    <t>getKnowledgeByCreatedBy</t>
    <phoneticPr fontId="1"/>
  </si>
  <si>
    <t>getKnowledgeByUpdatedBy</t>
    <phoneticPr fontId="1"/>
  </si>
  <si>
    <t>created_by = ***</t>
    <phoneticPr fontId="1"/>
  </si>
  <si>
    <t>updated_by = ***</t>
    <phoneticPr fontId="1"/>
  </si>
  <si>
    <t>GSI-8</t>
    <phoneticPr fontId="1"/>
  </si>
  <si>
    <t>updatedAt-index</t>
    <phoneticPr fontId="1"/>
  </si>
  <si>
    <t>createdAt-index</t>
    <phoneticPr fontId="1"/>
  </si>
  <si>
    <t>cat3-updatedAt-index</t>
    <phoneticPr fontId="1"/>
  </si>
  <si>
    <t>cat2-updatedAt-index</t>
    <phoneticPr fontId="1"/>
  </si>
  <si>
    <t>cat1-updatedAt-index</t>
    <phoneticPr fontId="1"/>
  </si>
  <si>
    <t>SK(created_at)</t>
    <phoneticPr fontId="1"/>
  </si>
  <si>
    <t>createdBy-createdAt-index</t>
    <phoneticPr fontId="1"/>
  </si>
  <si>
    <t>updatedBy-updatedAt-index</t>
    <phoneticPr fontId="1"/>
  </si>
  <si>
    <t>PK(updated_by)</t>
    <phoneticPr fontId="1"/>
  </si>
  <si>
    <t>PK(created_by)</t>
    <phoneticPr fontId="1"/>
  </si>
  <si>
    <t>投稿ランキング取得</t>
    <rPh sb="0" eb="2">
      <t>トウコウ</t>
    </rPh>
    <rPh sb="7" eb="9">
      <t>シュトク</t>
    </rPh>
    <phoneticPr fontId="1"/>
  </si>
  <si>
    <t>ユーザ名リンク押下</t>
    <rPh sb="3" eb="4">
      <t>メイ</t>
    </rPh>
    <rPh sb="7" eb="9">
      <t>オウカ</t>
    </rPh>
    <phoneticPr fontId="1"/>
  </si>
  <si>
    <t>投稿ランキング表示</t>
    <rPh sb="0" eb="2">
      <t>トウコウ</t>
    </rPh>
    <rPh sb="7" eb="9">
      <t>ヒョウジ</t>
    </rPh>
    <phoneticPr fontId="1"/>
  </si>
  <si>
    <t>投稿ランキング絞込み</t>
    <rPh sb="0" eb="2">
      <t>トウコウ</t>
    </rPh>
    <rPh sb="7" eb="9">
      <t>シボリコ</t>
    </rPh>
    <phoneticPr fontId="1"/>
  </si>
  <si>
    <t>ユーザごとのなれっじ表示</t>
    <rPh sb="10" eb="12">
      <t>ヒョウジ</t>
    </rPh>
    <phoneticPr fontId="1"/>
  </si>
  <si>
    <t>ユーザごとのなれっじ取得</t>
    <rPh sb="10" eb="12">
      <t>シュトク</t>
    </rPh>
    <phoneticPr fontId="1"/>
  </si>
  <si>
    <t>getKnowledgeByCreatedBy
getKnowledgeByUpdatedBy</t>
    <phoneticPr fontId="1"/>
  </si>
  <si>
    <t>created_by = ***
updated_by = ***</t>
    <phoneticPr fontId="1"/>
  </si>
  <si>
    <t>なれっじ一覧</t>
    <rPh sb="4" eb="6">
      <t>イチラン</t>
    </rPh>
    <phoneticPr fontId="1"/>
  </si>
  <si>
    <t>total_cnt</t>
    <phoneticPr fontId="1"/>
  </si>
  <si>
    <t>getUserCountByTotalCnt</t>
    <phoneticPr fontId="1"/>
  </si>
  <si>
    <t>ユーザ＋Count一覧</t>
    <rPh sb="9" eb="11">
      <t>イチラン</t>
    </rPh>
    <phoneticPr fontId="1"/>
  </si>
  <si>
    <t>SK(total_cnt)</t>
    <phoneticPr fontId="1"/>
  </si>
  <si>
    <t>PK-totalCnt-index</t>
  </si>
  <si>
    <t>PK-totalCnt-index</t>
    <phoneticPr fontId="1"/>
  </si>
  <si>
    <t>PK-viewCnt-index</t>
    <phoneticPr fontId="1"/>
  </si>
  <si>
    <t>SK(view_cnt)</t>
    <phoneticPr fontId="1"/>
  </si>
  <si>
    <t>SK(srch_cnt)</t>
    <phoneticPr fontId="1"/>
  </si>
  <si>
    <t>PK-srchCnt-index</t>
    <phoneticPr fontId="1"/>
  </si>
  <si>
    <t>投稿ランキングを登録日時及び更新日時で絞り込み</t>
    <rPh sb="0" eb="2">
      <t>トウコウ</t>
    </rPh>
    <rPh sb="8" eb="10">
      <t>トウロク</t>
    </rPh>
    <rPh sb="10" eb="12">
      <t>ニチジ</t>
    </rPh>
    <rPh sb="12" eb="13">
      <t>オヨ</t>
    </rPh>
    <rPh sb="14" eb="16">
      <t>コウシン</t>
    </rPh>
    <rPh sb="16" eb="18">
      <t>ニチジ</t>
    </rPh>
    <rPh sb="19" eb="20">
      <t>シボ</t>
    </rPh>
    <rPh sb="21" eb="22">
      <t>コ</t>
    </rPh>
    <phoneticPr fontId="1"/>
  </si>
  <si>
    <t>updated_at = ***
created_at = ***</t>
    <phoneticPr fontId="1"/>
  </si>
  <si>
    <t>PK=BETWEEN("created_at")</t>
    <phoneticPr fontId="1"/>
  </si>
  <si>
    <t>PK=BETWEEN("updated_at")</t>
    <phoneticPr fontId="1"/>
  </si>
  <si>
    <t>GSI 3</t>
  </si>
  <si>
    <t>GSI 4</t>
  </si>
  <si>
    <t>GSI 5</t>
  </si>
  <si>
    <t>GSI 6</t>
  </si>
  <si>
    <t>GSI-7</t>
    <phoneticPr fontId="1"/>
  </si>
  <si>
    <t>SK=NOT begins_with("total_cnt")</t>
    <phoneticPr fontId="1"/>
  </si>
  <si>
    <t>updatated_by={user_id}</t>
    <phoneticPr fontId="1"/>
  </si>
  <si>
    <t>created_by={user_id}</t>
    <phoneticPr fontId="1"/>
  </si>
  <si>
    <t>updatedBy-updatedAt-index
createdBy-createdAt-index</t>
    <phoneticPr fontId="1"/>
  </si>
  <si>
    <t>参照回数ごとのなれっじ表示</t>
    <rPh sb="0" eb="2">
      <t>サンショウ</t>
    </rPh>
    <rPh sb="2" eb="4">
      <t>カイスウ</t>
    </rPh>
    <rPh sb="11" eb="13">
      <t>ヒョウジ</t>
    </rPh>
    <phoneticPr fontId="1"/>
  </si>
  <si>
    <t>getKnowledgeBySrchCnt</t>
    <phoneticPr fontId="1"/>
  </si>
  <si>
    <t>PK="KWL#data"</t>
  </si>
  <si>
    <t>SK="{id}"</t>
    <phoneticPr fontId="1"/>
  </si>
  <si>
    <t>PK="CAT#data"</t>
    <phoneticPr fontId="1"/>
  </si>
  <si>
    <t>PK="USR#data"</t>
    <phoneticPr fontId="1"/>
  </si>
  <si>
    <t>PK="CAT#cnt"</t>
    <phoneticPr fontId="1"/>
  </si>
  <si>
    <t>SK="NOT begins_with(DEL#)"</t>
    <phoneticPr fontId="1"/>
  </si>
  <si>
    <t>scan-index</t>
    <phoneticPr fontId="1"/>
  </si>
  <si>
    <t>SK(scan-index)</t>
    <phoneticPr fontId="1"/>
  </si>
  <si>
    <t>scan-index</t>
    <phoneticPr fontId="1"/>
  </si>
  <si>
    <t>PK="KWL#cnt"</t>
    <phoneticPr fontId="1"/>
  </si>
  <si>
    <t>PK="USR#cnt"</t>
    <phoneticPr fontId="1"/>
  </si>
  <si>
    <t>SK=NOT begins_with("srch_cnt")</t>
    <phoneticPr fontId="1"/>
  </si>
  <si>
    <t>参照ランキング絞込み</t>
    <rPh sb="0" eb="2">
      <t>サンショウ</t>
    </rPh>
    <rPh sb="7" eb="9">
      <t>シボリコ</t>
    </rPh>
    <phoneticPr fontId="1"/>
  </si>
  <si>
    <t>参照ランキングを登録日時及び更新日時で絞り込み</t>
    <rPh sb="0" eb="2">
      <t>サンショウ</t>
    </rPh>
    <rPh sb="8" eb="10">
      <t>トウロク</t>
    </rPh>
    <rPh sb="10" eb="12">
      <t>ニチジ</t>
    </rPh>
    <rPh sb="12" eb="13">
      <t>オヨ</t>
    </rPh>
    <rPh sb="14" eb="16">
      <t>コウシン</t>
    </rPh>
    <rPh sb="16" eb="18">
      <t>ニチジ</t>
    </rPh>
    <rPh sb="19" eb="20">
      <t>シボ</t>
    </rPh>
    <rPh sb="21" eb="22">
      <t>コ</t>
    </rPh>
    <phoneticPr fontId="1"/>
  </si>
  <si>
    <t>なれっじタイトルリンク押下</t>
    <rPh sb="11" eb="13">
      <t>オウカ</t>
    </rPh>
    <phoneticPr fontId="1"/>
  </si>
  <si>
    <t>なれっじ詳細表示</t>
    <rPh sb="4" eb="6">
      <t>ショウサイ</t>
    </rPh>
    <rPh sb="6" eb="8">
      <t>ヒョウジ</t>
    </rPh>
    <phoneticPr fontId="1"/>
  </si>
  <si>
    <t>指定したなれっじの詳細情報取得</t>
    <rPh sb="0" eb="2">
      <t>シテイ</t>
    </rPh>
    <rPh sb="9" eb="11">
      <t>ショウサイ</t>
    </rPh>
    <rPh sb="11" eb="13">
      <t>ジョウホウ</t>
    </rPh>
    <rPh sb="13" eb="15">
      <t>シュトク</t>
    </rPh>
    <phoneticPr fontId="1"/>
  </si>
  <si>
    <t>SK="{id}"</t>
    <phoneticPr fontId="1"/>
  </si>
  <si>
    <t>PK-totalCnt-index
updatedAt-index
createdAt-index</t>
    <phoneticPr fontId="1"/>
  </si>
  <si>
    <t>PK-srchCnt-index
updatedAt-index
createdAt-index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</si>
</sst>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>
      <alignment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Border="1">
      <alignment vertical="center"/>
    </xf>
    <xf numFmtId="0" fontId="0" fillId="2" borderId="7" xfId="0" applyFill="1" applyBorder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0" fillId="2" borderId="14" xfId="0" applyFill="1" applyBorder="1">
      <alignment vertical="center"/>
    </xf>
    <xf numFmtId="0" fontId="3" fillId="2" borderId="14" xfId="0" applyFont="1" applyFill="1" applyBorder="1">
      <alignment vertical="center"/>
    </xf>
    <xf numFmtId="0" fontId="4" fillId="2" borderId="14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3" fillId="2" borderId="15" xfId="0" applyFont="1" applyFill="1" applyBorder="1">
      <alignment vertical="center"/>
    </xf>
    <xf numFmtId="0" fontId="0" fillId="2" borderId="15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4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0" fillId="4" borderId="15" xfId="0" applyFill="1" applyBorder="1">
      <alignment vertical="center"/>
    </xf>
    <xf numFmtId="0" fontId="4" fillId="4" borderId="15" xfId="0" applyFont="1" applyFill="1" applyBorder="1">
      <alignment vertical="center"/>
    </xf>
    <xf numFmtId="0" fontId="0" fillId="4" borderId="15" xfId="0" applyFill="1" applyBorder="1" applyAlignment="1">
      <alignment horizontal="left" vertical="center"/>
    </xf>
    <xf numFmtId="0" fontId="0" fillId="2" borderId="15" xfId="0" applyFill="1" applyBorder="1" applyAlignment="1">
      <alignment horizontal="right"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7" xfId="0" applyFill="1" applyBorder="1" applyAlignment="1">
      <alignment horizontal="right"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18" xfId="0" applyFill="1" applyBorder="1" applyAlignment="1">
      <alignment horizontal="left" vertical="center"/>
    </xf>
    <xf numFmtId="0" fontId="0" fillId="5" borderId="15" xfId="0" applyFill="1" applyBorder="1">
      <alignment vertical="center"/>
    </xf>
    <xf numFmtId="0" fontId="0" fillId="5" borderId="15" xfId="0" applyFill="1" applyBorder="1" applyAlignment="1">
      <alignment horizontal="left" vertical="center"/>
    </xf>
    <xf numFmtId="0" fontId="0" fillId="2" borderId="15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1288674</xdr:colOff>
      <xdr:row>20</xdr:row>
      <xdr:rowOff>0</xdr:rowOff>
    </xdr:from>
    <xdr:to>
      <xdr:col>4</xdr:col>
      <xdr:colOff>1535206</xdr:colOff>
      <xdr:row>20</xdr:row>
      <xdr:rowOff>224117</xdr:rowOff>
    </xdr:to>
    <xdr:sp macro="" textlink="">
      <xdr:nvSpPr>
        <xdr:cNvPr id="2" name="正方形/長方形 1"/>
        <xdr:cNvSpPr/>
      </xdr:nvSpPr>
      <xdr:spPr>
        <a:xfrm>
          <a:off x="3518645" y="4482353"/>
          <a:ext cx="2353237" cy="22411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rgbClr val="FF0000"/>
              </a:solidFill>
            </a:rPr>
            <a:t>このためだけに</a:t>
          </a:r>
          <a:r>
            <a:rPr kumimoji="1" lang="en-US" altLang="ja-JP" sz="1100" b="0">
              <a:solidFill>
                <a:srgbClr val="FF0000"/>
              </a:solidFill>
            </a:rPr>
            <a:t>API</a:t>
          </a:r>
          <a:r>
            <a:rPr kumimoji="1" lang="ja-JP" altLang="en-US" sz="1100" b="0">
              <a:solidFill>
                <a:srgbClr val="FF0000"/>
              </a:solidFill>
            </a:rPr>
            <a:t>は呼び出さない</a:t>
          </a:r>
        </a:p>
      </xdr:txBody>
    </xdr:sp>
    <xdr:clientData/>
  </xdr:twoCellAnchor>
  <xdr:twoCellAnchor>
    <xdr:from>
      <xdr:col>3</xdr:col>
      <xdr:colOff>1277469</xdr:colOff>
      <xdr:row>29</xdr:row>
      <xdr:rowOff>0</xdr:rowOff>
    </xdr:from>
    <xdr:to>
      <xdr:col>4</xdr:col>
      <xdr:colOff>1524001</xdr:colOff>
      <xdr:row>29</xdr:row>
      <xdr:rowOff>224117</xdr:rowOff>
    </xdr:to>
    <xdr:sp macro="" textlink="">
      <xdr:nvSpPr>
        <xdr:cNvPr id="3" name="正方形/長方形 2"/>
        <xdr:cNvSpPr/>
      </xdr:nvSpPr>
      <xdr:spPr>
        <a:xfrm>
          <a:off x="3507440" y="6129618"/>
          <a:ext cx="2353237" cy="22411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rgbClr val="FF0000"/>
              </a:solidFill>
            </a:rPr>
            <a:t>このためだけに</a:t>
          </a:r>
          <a:r>
            <a:rPr kumimoji="1" lang="en-US" altLang="ja-JP" sz="1100" b="0">
              <a:solidFill>
                <a:srgbClr val="FF0000"/>
              </a:solidFill>
            </a:rPr>
            <a:t>API</a:t>
          </a:r>
          <a:r>
            <a:rPr kumimoji="1" lang="ja-JP" altLang="en-US" sz="1100" b="0">
              <a:solidFill>
                <a:srgbClr val="FF0000"/>
              </a:solidFill>
            </a:rPr>
            <a:t>は呼び出さない</a:t>
          </a:r>
        </a:p>
      </xdr:txBody>
    </xdr:sp>
    <xdr:clientData/>
  </xdr:twoCellAnchor>
  <xdr:twoCellAnchor>
    <xdr:from>
      <xdr:col>3</xdr:col>
      <xdr:colOff>1277469</xdr:colOff>
      <xdr:row>29</xdr:row>
      <xdr:rowOff>235323</xdr:rowOff>
    </xdr:from>
    <xdr:to>
      <xdr:col>4</xdr:col>
      <xdr:colOff>1524001</xdr:colOff>
      <xdr:row>30</xdr:row>
      <xdr:rowOff>224116</xdr:rowOff>
    </xdr:to>
    <xdr:sp macro="" textlink="">
      <xdr:nvSpPr>
        <xdr:cNvPr id="4" name="正方形/長方形 3"/>
        <xdr:cNvSpPr/>
      </xdr:nvSpPr>
      <xdr:spPr>
        <a:xfrm>
          <a:off x="3507440" y="7070911"/>
          <a:ext cx="2353237" cy="22411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solidFill>
                <a:srgbClr val="FF0000"/>
              </a:solidFill>
            </a:rPr>
            <a:t>Phase1</a:t>
          </a:r>
          <a:r>
            <a:rPr kumimoji="1" lang="ja-JP" altLang="en-US" sz="1100" b="0">
              <a:solidFill>
                <a:srgbClr val="FF0000"/>
              </a:solidFill>
            </a:rPr>
            <a:t>で実装済</a:t>
          </a:r>
        </a:p>
      </xdr:txBody>
    </xdr:sp>
    <xdr:clientData/>
  </xdr:twoCellAnchor>
  <xdr:twoCellAnchor>
    <xdr:from>
      <xdr:col>14</xdr:col>
      <xdr:colOff>33613</xdr:colOff>
      <xdr:row>32</xdr:row>
      <xdr:rowOff>33616</xdr:rowOff>
    </xdr:from>
    <xdr:to>
      <xdr:col>35</xdr:col>
      <xdr:colOff>1680882</xdr:colOff>
      <xdr:row>33</xdr:row>
      <xdr:rowOff>11205</xdr:rowOff>
    </xdr:to>
    <xdr:sp macro="" textlink="">
      <xdr:nvSpPr>
        <xdr:cNvPr id="5" name="正方形/長方形 4"/>
        <xdr:cNvSpPr/>
      </xdr:nvSpPr>
      <xdr:spPr>
        <a:xfrm>
          <a:off x="18164731" y="7104528"/>
          <a:ext cx="22736739" cy="21291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>
              <a:solidFill>
                <a:srgbClr val="FF0000"/>
              </a:solidFill>
            </a:rPr>
            <a:t>18</a:t>
          </a:r>
          <a:r>
            <a:rPr kumimoji="1" lang="ja-JP" altLang="en-US" sz="1100" b="0">
              <a:solidFill>
                <a:srgbClr val="FF0000"/>
              </a:solidFill>
            </a:rPr>
            <a:t>～</a:t>
          </a:r>
          <a:r>
            <a:rPr kumimoji="1" lang="en-US" altLang="ja-JP" sz="1100" b="0">
              <a:solidFill>
                <a:srgbClr val="FF0000"/>
              </a:solidFill>
            </a:rPr>
            <a:t>22</a:t>
          </a:r>
          <a:r>
            <a:rPr kumimoji="1" lang="ja-JP" altLang="en-US" sz="1100" b="0">
              <a:solidFill>
                <a:srgbClr val="FF0000"/>
              </a:solidFill>
            </a:rPr>
            <a:t>の組み合わせになるため省略</a:t>
          </a:r>
          <a:endParaRPr kumimoji="1" lang="en-US" altLang="ja-JP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33613</xdr:colOff>
      <xdr:row>33</xdr:row>
      <xdr:rowOff>56027</xdr:rowOff>
    </xdr:from>
    <xdr:to>
      <xdr:col>35</xdr:col>
      <xdr:colOff>1680882</xdr:colOff>
      <xdr:row>36</xdr:row>
      <xdr:rowOff>179294</xdr:rowOff>
    </xdr:to>
    <xdr:sp macro="" textlink="">
      <xdr:nvSpPr>
        <xdr:cNvPr id="6" name="正方形/長方形 5"/>
        <xdr:cNvSpPr/>
      </xdr:nvSpPr>
      <xdr:spPr>
        <a:xfrm>
          <a:off x="18164731" y="7597586"/>
          <a:ext cx="22736739" cy="82923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>
              <a:solidFill>
                <a:srgbClr val="FF0000"/>
              </a:solidFill>
            </a:rPr>
            <a:t>後回し（要設計）</a:t>
          </a:r>
          <a:endParaRPr kumimoji="1" lang="en-US" altLang="ja-JP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33613</xdr:colOff>
      <xdr:row>18</xdr:row>
      <xdr:rowOff>235322</xdr:rowOff>
    </xdr:from>
    <xdr:to>
      <xdr:col>35</xdr:col>
      <xdr:colOff>1680882</xdr:colOff>
      <xdr:row>19</xdr:row>
      <xdr:rowOff>212911</xdr:rowOff>
    </xdr:to>
    <xdr:sp macro="" textlink="">
      <xdr:nvSpPr>
        <xdr:cNvPr id="7" name="正方形/長方形 6"/>
        <xdr:cNvSpPr/>
      </xdr:nvSpPr>
      <xdr:spPr>
        <a:xfrm>
          <a:off x="18164731" y="4482351"/>
          <a:ext cx="22736739" cy="212913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>
              <a:solidFill>
                <a:srgbClr val="FF0000"/>
              </a:solidFill>
            </a:rPr>
            <a:t>OpenSearch</a:t>
          </a:r>
          <a:r>
            <a:rPr kumimoji="1" lang="ja-JP" altLang="en-US" sz="1100" b="0">
              <a:solidFill>
                <a:srgbClr val="FF0000"/>
              </a:solidFill>
            </a:rPr>
            <a:t>による検索の挙動が不明なため保留</a:t>
          </a:r>
          <a:endParaRPr kumimoji="1" lang="en-US" altLang="ja-JP" sz="1100" b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pane ySplit="3" topLeftCell="A4" activePane="bottomLeft" state="frozen"/>
      <selection pane="bottomLeft" activeCell="F6" sqref="F6"/>
    </sheetView>
  </sheetViews>
  <sheetFormatPr defaultColWidth="8.625" defaultRowHeight="18.75" x14ac:dyDescent="0.4"/>
  <cols>
    <col min="1" max="1" width="4.25" style="1" customWidth="1"/>
    <col min="2" max="2" width="8.625" style="1"/>
    <col min="3" max="3" width="16.25" style="1" bestFit="1" customWidth="1"/>
    <col min="4" max="4" width="22.125" style="1" bestFit="1" customWidth="1"/>
    <col min="5" max="5" width="24.125" style="1" bestFit="1" customWidth="1"/>
    <col min="6" max="6" width="28.25" style="1" bestFit="1" customWidth="1"/>
    <col min="7" max="7" width="23.125" style="1" bestFit="1" customWidth="1"/>
    <col min="8" max="8" width="14.875" style="1" bestFit="1" customWidth="1"/>
    <col min="9" max="10" width="14.875" style="1" customWidth="1"/>
    <col min="11" max="11" width="5.875" style="4" customWidth="1"/>
    <col min="12" max="12" width="13" style="1" bestFit="1" customWidth="1"/>
    <col min="13" max="15" width="12.375" style="1" customWidth="1"/>
    <col min="16" max="16" width="13.375" style="1" bestFit="1" customWidth="1"/>
    <col min="17" max="17" width="25.25" style="1" bestFit="1" customWidth="1"/>
    <col min="18" max="18" width="9.625" style="1" bestFit="1" customWidth="1"/>
    <col min="19" max="19" width="33.125" style="1" bestFit="1" customWidth="1"/>
    <col min="20" max="20" width="32.875" style="1" bestFit="1" customWidth="1"/>
    <col min="21" max="21" width="20.625" style="1" bestFit="1" customWidth="1"/>
    <col min="22" max="16384" width="8.625" style="1"/>
  </cols>
  <sheetData>
    <row r="1" spans="1:21" s="14" customFormat="1" ht="19.5" x14ac:dyDescent="0.4">
      <c r="A1" s="14" t="s">
        <v>6</v>
      </c>
      <c r="K1" s="15"/>
    </row>
    <row r="2" spans="1:21" x14ac:dyDescent="0.4">
      <c r="B2" s="7" t="s">
        <v>33</v>
      </c>
      <c r="C2" s="7" t="s">
        <v>32</v>
      </c>
      <c r="D2" s="7" t="s">
        <v>31</v>
      </c>
      <c r="E2" s="23" t="s">
        <v>30</v>
      </c>
      <c r="F2" s="23"/>
      <c r="G2" s="7" t="s">
        <v>16</v>
      </c>
      <c r="H2" s="7" t="s">
        <v>35</v>
      </c>
      <c r="I2" s="7" t="s">
        <v>36</v>
      </c>
      <c r="J2" s="7" t="s">
        <v>40</v>
      </c>
      <c r="K2" s="6"/>
      <c r="L2" s="24" t="s">
        <v>29</v>
      </c>
      <c r="M2" s="24"/>
      <c r="N2" s="18" t="s">
        <v>130</v>
      </c>
      <c r="O2" s="24" t="s">
        <v>20</v>
      </c>
      <c r="P2" s="24"/>
      <c r="Q2" s="8" t="s">
        <v>42</v>
      </c>
      <c r="R2" s="8" t="s">
        <v>50</v>
      </c>
      <c r="S2" s="9" t="s">
        <v>37</v>
      </c>
      <c r="T2" s="9" t="s">
        <v>39</v>
      </c>
      <c r="U2" s="9" t="s">
        <v>41</v>
      </c>
    </row>
    <row r="3" spans="1:21" s="5" customFormat="1" x14ac:dyDescent="0.4">
      <c r="B3" s="10"/>
      <c r="C3" s="10"/>
      <c r="D3" s="10"/>
      <c r="E3" s="11"/>
      <c r="F3" s="12"/>
      <c r="G3" s="10"/>
      <c r="H3" s="10" t="s">
        <v>27</v>
      </c>
      <c r="I3" s="10"/>
      <c r="J3" s="10"/>
      <c r="K3" s="6"/>
      <c r="L3" s="13" t="s">
        <v>9</v>
      </c>
      <c r="M3" s="13" t="s">
        <v>10</v>
      </c>
      <c r="N3" s="13" t="s">
        <v>131</v>
      </c>
      <c r="O3" s="13" t="s">
        <v>9</v>
      </c>
      <c r="P3" s="13" t="s">
        <v>10</v>
      </c>
      <c r="Q3" s="10"/>
      <c r="R3" s="10"/>
      <c r="S3" s="10"/>
      <c r="T3" s="10"/>
      <c r="U3" s="10"/>
    </row>
    <row r="4" spans="1:21" x14ac:dyDescent="0.4">
      <c r="B4" s="2" t="s">
        <v>5</v>
      </c>
      <c r="C4" s="2" t="s">
        <v>1</v>
      </c>
      <c r="D4" s="2" t="s">
        <v>0</v>
      </c>
      <c r="E4" s="2" t="s">
        <v>14</v>
      </c>
      <c r="F4" s="2" t="s">
        <v>3</v>
      </c>
      <c r="G4" s="2" t="s">
        <v>2</v>
      </c>
      <c r="H4" s="2" t="s">
        <v>12</v>
      </c>
      <c r="I4" s="2" t="s">
        <v>43</v>
      </c>
      <c r="J4" s="2" t="s">
        <v>26</v>
      </c>
      <c r="K4" s="2"/>
      <c r="L4" s="2" t="s">
        <v>11</v>
      </c>
      <c r="M4" s="2" t="s">
        <v>26</v>
      </c>
      <c r="N4" s="2"/>
      <c r="O4" s="2"/>
      <c r="P4" s="2"/>
      <c r="Q4" s="2" t="s">
        <v>29</v>
      </c>
      <c r="R4" s="2" t="s">
        <v>38</v>
      </c>
      <c r="S4" s="2"/>
      <c r="T4" s="2"/>
      <c r="U4" s="2"/>
    </row>
    <row r="5" spans="1:21" x14ac:dyDescent="0.4">
      <c r="B5" s="2" t="s">
        <v>5</v>
      </c>
      <c r="C5" s="2" t="s">
        <v>1</v>
      </c>
      <c r="D5" s="2" t="s">
        <v>0</v>
      </c>
      <c r="E5" s="2" t="s">
        <v>13</v>
      </c>
      <c r="F5" s="2" t="s">
        <v>17</v>
      </c>
      <c r="G5" s="2" t="s">
        <v>15</v>
      </c>
      <c r="H5" s="2" t="s">
        <v>12</v>
      </c>
      <c r="I5" s="2" t="s">
        <v>43</v>
      </c>
      <c r="J5" s="2" t="s">
        <v>128</v>
      </c>
      <c r="K5" s="2"/>
      <c r="L5" s="2" t="s">
        <v>128</v>
      </c>
      <c r="M5" s="2" t="s">
        <v>129</v>
      </c>
      <c r="N5" s="2"/>
      <c r="O5" s="2"/>
      <c r="P5" s="2"/>
      <c r="Q5" s="2" t="s">
        <v>29</v>
      </c>
      <c r="R5" s="2" t="s">
        <v>38</v>
      </c>
      <c r="S5" s="2"/>
      <c r="T5" s="2"/>
      <c r="U5" s="2"/>
    </row>
    <row r="6" spans="1:21" x14ac:dyDescent="0.4">
      <c r="B6" s="2" t="s">
        <v>5</v>
      </c>
      <c r="C6" s="2" t="s">
        <v>1</v>
      </c>
      <c r="D6" s="2" t="s">
        <v>7</v>
      </c>
      <c r="E6" s="2" t="s">
        <v>8</v>
      </c>
      <c r="F6" s="2" t="s">
        <v>4</v>
      </c>
      <c r="G6" s="2" t="s">
        <v>2</v>
      </c>
      <c r="H6" s="2" t="s">
        <v>28</v>
      </c>
      <c r="I6" s="2"/>
      <c r="J6" s="2"/>
      <c r="K6" s="2"/>
      <c r="L6" s="2" t="s">
        <v>11</v>
      </c>
      <c r="M6" s="2"/>
      <c r="N6" s="2"/>
      <c r="O6" s="2"/>
      <c r="P6" s="2"/>
      <c r="Q6" s="2" t="s">
        <v>29</v>
      </c>
      <c r="R6" s="2" t="s">
        <v>44</v>
      </c>
      <c r="S6" s="2" t="s">
        <v>48</v>
      </c>
      <c r="T6" s="2"/>
      <c r="U6" s="2"/>
    </row>
    <row r="7" spans="1:21" x14ac:dyDescent="0.4"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2</v>
      </c>
      <c r="H7" s="2" t="s">
        <v>28</v>
      </c>
      <c r="I7" s="2" t="s">
        <v>118</v>
      </c>
      <c r="K7" s="2"/>
      <c r="L7" s="2" t="s">
        <v>11</v>
      </c>
      <c r="M7" s="2" t="s">
        <v>65</v>
      </c>
      <c r="N7" s="2"/>
      <c r="O7" s="2"/>
      <c r="P7" s="2"/>
      <c r="Q7" s="2"/>
      <c r="R7" s="2"/>
      <c r="S7" s="2"/>
      <c r="T7" s="2"/>
      <c r="U7" s="2"/>
    </row>
    <row r="8" spans="1:21" x14ac:dyDescent="0.4">
      <c r="B8" s="2" t="s">
        <v>5</v>
      </c>
      <c r="C8" s="2" t="s">
        <v>52</v>
      </c>
      <c r="D8" s="2" t="s">
        <v>53</v>
      </c>
      <c r="E8" s="2" t="s">
        <v>119</v>
      </c>
      <c r="F8" s="2" t="s">
        <v>55</v>
      </c>
      <c r="G8" s="2" t="s">
        <v>15</v>
      </c>
      <c r="H8" s="2" t="s">
        <v>12</v>
      </c>
      <c r="I8" s="2" t="s">
        <v>118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4">
      <c r="B9" s="2" t="s">
        <v>51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</v>
      </c>
      <c r="H9" s="2" t="s">
        <v>28</v>
      </c>
      <c r="I9" s="2" t="s">
        <v>118</v>
      </c>
      <c r="J9" s="2" t="s">
        <v>65</v>
      </c>
      <c r="K9" s="2"/>
      <c r="L9" s="2" t="s">
        <v>11</v>
      </c>
      <c r="M9" s="2" t="s">
        <v>65</v>
      </c>
      <c r="N9" s="2"/>
      <c r="O9" s="2"/>
      <c r="P9" s="2"/>
      <c r="Q9" s="2"/>
      <c r="R9" s="2"/>
      <c r="S9" s="2"/>
      <c r="T9" s="2"/>
      <c r="U9" s="2"/>
    </row>
    <row r="10" spans="1:21" x14ac:dyDescent="0.4">
      <c r="B10" s="2" t="s">
        <v>5</v>
      </c>
      <c r="C10" s="2" t="s">
        <v>56</v>
      </c>
      <c r="D10" s="2" t="s">
        <v>57</v>
      </c>
      <c r="E10" s="2" t="s">
        <v>120</v>
      </c>
      <c r="F10" s="2" t="s">
        <v>59</v>
      </c>
      <c r="G10" s="2" t="s">
        <v>15</v>
      </c>
      <c r="H10" s="2" t="s">
        <v>12</v>
      </c>
      <c r="I10" s="2" t="s">
        <v>118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4">
      <c r="B11" s="2" t="s">
        <v>51</v>
      </c>
      <c r="C11" s="2" t="s">
        <v>60</v>
      </c>
      <c r="D11" s="2" t="s">
        <v>61</v>
      </c>
      <c r="E11" s="2" t="s">
        <v>62</v>
      </c>
      <c r="F11" s="2" t="s">
        <v>66</v>
      </c>
      <c r="G11" s="2" t="s">
        <v>63</v>
      </c>
      <c r="H11" s="2" t="s">
        <v>12</v>
      </c>
      <c r="I11" s="2" t="s">
        <v>118</v>
      </c>
      <c r="J11" s="2" t="s">
        <v>65</v>
      </c>
      <c r="K11" s="2"/>
      <c r="L11" s="2" t="s">
        <v>11</v>
      </c>
      <c r="M11" s="2" t="s">
        <v>65</v>
      </c>
      <c r="N11" s="2"/>
      <c r="O11" s="2"/>
      <c r="P11" s="2"/>
      <c r="Q11" s="2"/>
      <c r="R11" s="2"/>
      <c r="S11" s="2"/>
      <c r="T11" s="2"/>
      <c r="U11" s="2"/>
    </row>
    <row r="12" spans="1:21" x14ac:dyDescent="0.4">
      <c r="B12" s="2" t="s">
        <v>51</v>
      </c>
      <c r="C12" s="2" t="s">
        <v>60</v>
      </c>
      <c r="D12" s="2" t="s">
        <v>61</v>
      </c>
      <c r="E12" s="2" t="s">
        <v>64</v>
      </c>
      <c r="F12" s="2" t="s">
        <v>67</v>
      </c>
      <c r="G12" s="2" t="s">
        <v>15</v>
      </c>
      <c r="H12" s="2" t="s">
        <v>65</v>
      </c>
      <c r="I12" s="2"/>
      <c r="J12" s="2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4">
      <c r="B14" s="2" t="s">
        <v>49</v>
      </c>
      <c r="C14" s="2" t="s">
        <v>1</v>
      </c>
      <c r="D14" s="2" t="s">
        <v>68</v>
      </c>
      <c r="E14" s="2" t="s">
        <v>69</v>
      </c>
      <c r="F14" s="2" t="s">
        <v>70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4">
      <c r="B15" s="2" t="s">
        <v>49</v>
      </c>
      <c r="C15" s="2" t="s">
        <v>1</v>
      </c>
      <c r="D15" s="2" t="s">
        <v>71</v>
      </c>
      <c r="E15" s="2" t="s">
        <v>13</v>
      </c>
      <c r="F15" s="2" t="s">
        <v>72</v>
      </c>
      <c r="G15" s="2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4">
      <c r="B16" s="2" t="s">
        <v>49</v>
      </c>
      <c r="C16" s="2" t="s">
        <v>1</v>
      </c>
      <c r="D16" s="2" t="s">
        <v>73</v>
      </c>
      <c r="E16" s="2" t="s">
        <v>18</v>
      </c>
      <c r="F16" s="2" t="s">
        <v>74</v>
      </c>
      <c r="G16" s="2" t="s">
        <v>2</v>
      </c>
      <c r="H16" s="2" t="s">
        <v>75</v>
      </c>
      <c r="I16" s="2"/>
      <c r="J16" s="2" t="s">
        <v>76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x14ac:dyDescent="0.4">
      <c r="B17" s="2" t="s">
        <v>49</v>
      </c>
      <c r="C17" s="2" t="s">
        <v>1</v>
      </c>
      <c r="D17" s="2" t="s">
        <v>77</v>
      </c>
      <c r="E17" s="2" t="s">
        <v>18</v>
      </c>
      <c r="F17" s="2" t="s">
        <v>3</v>
      </c>
      <c r="G17" s="2" t="s">
        <v>2</v>
      </c>
      <c r="H17" s="2"/>
      <c r="I17" s="2"/>
      <c r="J17" s="2" t="s">
        <v>76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x14ac:dyDescent="0.4">
      <c r="B18" s="2" t="s">
        <v>49</v>
      </c>
      <c r="C18" s="2" t="s">
        <v>1</v>
      </c>
      <c r="D18" s="2" t="s">
        <v>19</v>
      </c>
      <c r="E18" s="2" t="s">
        <v>18</v>
      </c>
      <c r="F18" s="2" t="s">
        <v>72</v>
      </c>
      <c r="G18" s="2" t="s">
        <v>121</v>
      </c>
      <c r="H18" s="2" t="s">
        <v>78</v>
      </c>
      <c r="I18" s="2"/>
      <c r="J18" s="2" t="s">
        <v>76</v>
      </c>
      <c r="K18" s="2"/>
      <c r="L18" s="2" t="s">
        <v>12</v>
      </c>
      <c r="M18" s="2" t="s">
        <v>12</v>
      </c>
      <c r="N18" s="2"/>
      <c r="O18" s="2" t="s">
        <v>21</v>
      </c>
      <c r="P18" s="2" t="s">
        <v>26</v>
      </c>
      <c r="Q18" s="2" t="str">
        <f>O18&amp;"-"&amp;P18&amp;"-index"</f>
        <v>cat_1-revised_at-index</v>
      </c>
      <c r="R18" s="2" t="s">
        <v>38</v>
      </c>
      <c r="S18" s="2" t="s">
        <v>45</v>
      </c>
      <c r="T18" s="2"/>
      <c r="U18" s="2"/>
    </row>
    <row r="19" spans="2:21" x14ac:dyDescent="0.4">
      <c r="B19" s="2" t="s">
        <v>49</v>
      </c>
      <c r="C19" s="2" t="s">
        <v>1</v>
      </c>
      <c r="D19" s="2" t="s">
        <v>22</v>
      </c>
      <c r="E19" s="2" t="s">
        <v>18</v>
      </c>
      <c r="F19" s="2" t="s">
        <v>72</v>
      </c>
      <c r="G19" s="2" t="s">
        <v>121</v>
      </c>
      <c r="H19" s="2" t="s">
        <v>78</v>
      </c>
      <c r="I19" s="2"/>
      <c r="J19" s="2" t="s">
        <v>76</v>
      </c>
      <c r="K19" s="2"/>
      <c r="L19" s="2" t="s">
        <v>12</v>
      </c>
      <c r="M19" s="2" t="s">
        <v>12</v>
      </c>
      <c r="N19" s="2"/>
      <c r="O19" s="2" t="s">
        <v>24</v>
      </c>
      <c r="P19" s="2" t="s">
        <v>26</v>
      </c>
      <c r="Q19" s="2" t="str">
        <f>O19&amp;"-"&amp;P19&amp;"-index"</f>
        <v>cat_2-revised_at-index</v>
      </c>
      <c r="R19" s="2" t="s">
        <v>38</v>
      </c>
      <c r="S19" s="2" t="s">
        <v>46</v>
      </c>
      <c r="T19" s="2"/>
      <c r="U19" s="2"/>
    </row>
    <row r="20" spans="2:21" x14ac:dyDescent="0.4">
      <c r="B20" s="2" t="s">
        <v>49</v>
      </c>
      <c r="C20" s="2" t="s">
        <v>1</v>
      </c>
      <c r="D20" s="2" t="s">
        <v>23</v>
      </c>
      <c r="E20" s="2" t="s">
        <v>18</v>
      </c>
      <c r="F20" s="2" t="s">
        <v>72</v>
      </c>
      <c r="G20" s="2" t="s">
        <v>121</v>
      </c>
      <c r="H20" s="2" t="s">
        <v>78</v>
      </c>
      <c r="I20" s="2"/>
      <c r="J20" s="2" t="s">
        <v>76</v>
      </c>
      <c r="K20" s="2"/>
      <c r="L20" s="2" t="s">
        <v>12</v>
      </c>
      <c r="M20" s="2" t="s">
        <v>12</v>
      </c>
      <c r="N20" s="2"/>
      <c r="O20" s="2" t="s">
        <v>25</v>
      </c>
      <c r="P20" s="2" t="s">
        <v>26</v>
      </c>
      <c r="Q20" s="2" t="str">
        <f>O20&amp;"-"&amp;P20&amp;"-index"</f>
        <v>cat_3-revised_at-index</v>
      </c>
      <c r="R20" s="2" t="s">
        <v>38</v>
      </c>
      <c r="S20" s="2" t="s">
        <v>47</v>
      </c>
      <c r="T20" s="2"/>
      <c r="U20" s="2"/>
    </row>
    <row r="21" spans="2:21" x14ac:dyDescent="0.4">
      <c r="B21" s="2" t="s">
        <v>49</v>
      </c>
      <c r="C21" s="2" t="s">
        <v>1</v>
      </c>
      <c r="D21" s="2" t="s">
        <v>34</v>
      </c>
      <c r="E21" s="2" t="s">
        <v>18</v>
      </c>
      <c r="F21" s="2" t="s">
        <v>72</v>
      </c>
      <c r="G21" s="2" t="s">
        <v>2</v>
      </c>
      <c r="H21" s="2" t="s">
        <v>78</v>
      </c>
      <c r="I21" s="2"/>
      <c r="J21" s="2" t="s">
        <v>76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x14ac:dyDescent="0.4">
      <c r="B22" s="2" t="s">
        <v>49</v>
      </c>
      <c r="C22" s="2" t="s">
        <v>1</v>
      </c>
      <c r="D22" s="2" t="s">
        <v>79</v>
      </c>
      <c r="E22" s="2" t="s">
        <v>18</v>
      </c>
      <c r="F22" s="2" t="s">
        <v>80</v>
      </c>
      <c r="G22" s="2" t="s">
        <v>2</v>
      </c>
      <c r="H22" s="2" t="s">
        <v>81</v>
      </c>
      <c r="I22" s="2"/>
      <c r="J22" s="2" t="s">
        <v>76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 x14ac:dyDescent="0.4">
      <c r="B23" s="2" t="s">
        <v>49</v>
      </c>
      <c r="C23" s="2" t="s">
        <v>1</v>
      </c>
      <c r="D23" s="2" t="s">
        <v>82</v>
      </c>
      <c r="E23" s="2" t="s">
        <v>18</v>
      </c>
      <c r="F23" s="2" t="s">
        <v>83</v>
      </c>
      <c r="G23" s="2" t="s">
        <v>2</v>
      </c>
      <c r="H23" s="2" t="s">
        <v>84</v>
      </c>
      <c r="I23" s="2"/>
      <c r="J23" s="2" t="s">
        <v>76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 x14ac:dyDescent="0.4">
      <c r="B24" s="2" t="s">
        <v>49</v>
      </c>
      <c r="C24" s="2" t="s">
        <v>1</v>
      </c>
      <c r="D24" s="2" t="s">
        <v>85</v>
      </c>
      <c r="E24" s="2" t="s">
        <v>18</v>
      </c>
      <c r="F24" s="2" t="s">
        <v>3</v>
      </c>
      <c r="G24" s="2" t="s">
        <v>2</v>
      </c>
      <c r="H24" s="2"/>
      <c r="I24" s="2"/>
      <c r="J24" s="2" t="s">
        <v>76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 x14ac:dyDescent="0.4">
      <c r="B25" s="2" t="s">
        <v>49</v>
      </c>
      <c r="C25" s="2" t="s">
        <v>1</v>
      </c>
      <c r="D25" s="2" t="s">
        <v>86</v>
      </c>
      <c r="E25" s="2" t="s">
        <v>18</v>
      </c>
      <c r="F25" s="2" t="s">
        <v>3</v>
      </c>
      <c r="G25" s="2" t="s">
        <v>2</v>
      </c>
      <c r="H25" s="2" t="s">
        <v>87</v>
      </c>
      <c r="I25" s="2"/>
      <c r="J25" s="2" t="s">
        <v>76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 x14ac:dyDescent="0.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4">
      <c r="B27" s="2" t="s">
        <v>88</v>
      </c>
      <c r="C27" s="2" t="s">
        <v>1</v>
      </c>
      <c r="D27" s="2" t="s">
        <v>89</v>
      </c>
      <c r="E27" s="2" t="s">
        <v>90</v>
      </c>
      <c r="F27" s="2" t="s">
        <v>91</v>
      </c>
      <c r="G27" s="2" t="s">
        <v>92</v>
      </c>
      <c r="H27" s="2"/>
      <c r="I27" s="2" t="s">
        <v>43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 x14ac:dyDescent="0.4">
      <c r="B28" s="2" t="s">
        <v>88</v>
      </c>
      <c r="C28" s="2" t="s">
        <v>1</v>
      </c>
      <c r="D28" s="2" t="s">
        <v>93</v>
      </c>
      <c r="E28" s="2" t="s">
        <v>94</v>
      </c>
      <c r="F28" s="16" t="s">
        <v>95</v>
      </c>
      <c r="G28" s="2" t="s">
        <v>92</v>
      </c>
      <c r="H28" s="2"/>
      <c r="I28" s="2" t="s">
        <v>43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 x14ac:dyDescent="0.4">
      <c r="B29" s="2" t="s">
        <v>88</v>
      </c>
      <c r="C29" s="2" t="s">
        <v>96</v>
      </c>
      <c r="D29" s="1" t="s">
        <v>97</v>
      </c>
      <c r="E29" s="16" t="s">
        <v>126</v>
      </c>
      <c r="F29" s="2" t="s">
        <v>91</v>
      </c>
      <c r="G29" s="2" t="s">
        <v>92</v>
      </c>
      <c r="H29" s="2" t="s">
        <v>127</v>
      </c>
      <c r="I29" s="2" t="s">
        <v>43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 x14ac:dyDescent="0.4">
      <c r="B30" s="2" t="s">
        <v>88</v>
      </c>
      <c r="C30" s="2" t="s">
        <v>96</v>
      </c>
      <c r="D30" s="1" t="s">
        <v>98</v>
      </c>
      <c r="E30" s="16" t="s">
        <v>124</v>
      </c>
      <c r="F30" s="2" t="s">
        <v>91</v>
      </c>
      <c r="G30" s="2" t="s">
        <v>92</v>
      </c>
      <c r="H30" s="2" t="s">
        <v>127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 x14ac:dyDescent="0.4">
      <c r="B31" s="2" t="s">
        <v>88</v>
      </c>
      <c r="C31" s="2" t="s">
        <v>96</v>
      </c>
      <c r="D31" s="1" t="s">
        <v>122</v>
      </c>
      <c r="E31" s="16" t="s">
        <v>125</v>
      </c>
      <c r="F31" s="2" t="s">
        <v>91</v>
      </c>
      <c r="G31" s="2" t="s">
        <v>92</v>
      </c>
      <c r="H31" s="1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1" x14ac:dyDescent="0.4">
      <c r="B32" s="2" t="s">
        <v>88</v>
      </c>
      <c r="C32" s="2" t="s">
        <v>1</v>
      </c>
      <c r="D32" s="2" t="s">
        <v>99</v>
      </c>
      <c r="E32" s="2" t="s">
        <v>100</v>
      </c>
      <c r="F32" s="2" t="s">
        <v>101</v>
      </c>
      <c r="G32" s="2" t="s">
        <v>102</v>
      </c>
      <c r="H32" s="2"/>
      <c r="I32" s="2" t="s">
        <v>43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 x14ac:dyDescent="0.4">
      <c r="B33" s="2" t="s">
        <v>88</v>
      </c>
      <c r="C33" s="2" t="s">
        <v>103</v>
      </c>
      <c r="D33" s="1" t="s">
        <v>104</v>
      </c>
      <c r="E33" s="2" t="s">
        <v>104</v>
      </c>
      <c r="F33" s="2"/>
      <c r="G33" s="2" t="s">
        <v>102</v>
      </c>
      <c r="H33" s="16"/>
      <c r="I33" s="1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x14ac:dyDescent="0.4">
      <c r="B34" s="2" t="s">
        <v>88</v>
      </c>
      <c r="C34" s="2" t="s">
        <v>103</v>
      </c>
      <c r="D34" s="2" t="s">
        <v>123</v>
      </c>
      <c r="E34" s="2" t="s">
        <v>123</v>
      </c>
      <c r="F34" s="2" t="s">
        <v>3</v>
      </c>
      <c r="G34" s="2" t="s">
        <v>2</v>
      </c>
      <c r="H34" s="16"/>
      <c r="I34" s="1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 x14ac:dyDescent="0.4">
      <c r="B35" s="2" t="s">
        <v>88</v>
      </c>
      <c r="C35" s="2"/>
      <c r="D35" s="4" t="s">
        <v>105</v>
      </c>
      <c r="E35" s="16" t="s">
        <v>106</v>
      </c>
      <c r="F35" s="2" t="s">
        <v>107</v>
      </c>
      <c r="G35" s="2" t="s">
        <v>102</v>
      </c>
      <c r="H35" s="2"/>
      <c r="I35" s="2" t="s">
        <v>43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 x14ac:dyDescent="0.4">
      <c r="B36" s="2" t="s">
        <v>88</v>
      </c>
      <c r="C36" s="2"/>
      <c r="D36" s="1" t="s">
        <v>104</v>
      </c>
      <c r="E36" s="2" t="s">
        <v>104</v>
      </c>
      <c r="F36" s="16"/>
      <c r="G36" s="2" t="s">
        <v>102</v>
      </c>
      <c r="H36" s="1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x14ac:dyDescent="0.4">
      <c r="B37" s="2" t="s">
        <v>88</v>
      </c>
      <c r="C37" s="2"/>
      <c r="D37" s="2" t="s">
        <v>123</v>
      </c>
      <c r="E37" s="2" t="s">
        <v>123</v>
      </c>
      <c r="F37" s="2" t="s">
        <v>3</v>
      </c>
      <c r="G37" s="2" t="s">
        <v>2</v>
      </c>
      <c r="H37" s="1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x14ac:dyDescent="0.4">
      <c r="B38" s="2" t="s">
        <v>88</v>
      </c>
      <c r="C38" s="2"/>
      <c r="D38" s="4" t="s">
        <v>108</v>
      </c>
      <c r="E38" s="2" t="s">
        <v>109</v>
      </c>
      <c r="F38" s="2" t="s">
        <v>110</v>
      </c>
      <c r="G38" s="2" t="s">
        <v>102</v>
      </c>
      <c r="H38" s="2"/>
      <c r="I38" s="2" t="s">
        <v>43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x14ac:dyDescent="0.4">
      <c r="B39" s="2" t="s">
        <v>88</v>
      </c>
      <c r="C39" s="2"/>
      <c r="D39" s="1" t="s">
        <v>104</v>
      </c>
      <c r="E39" s="2" t="s">
        <v>104</v>
      </c>
      <c r="F39" s="16"/>
      <c r="G39" s="2" t="s">
        <v>102</v>
      </c>
      <c r="H39" s="16"/>
      <c r="I39" s="1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 x14ac:dyDescent="0.4">
      <c r="B40" s="2" t="s">
        <v>88</v>
      </c>
      <c r="C40" s="2"/>
      <c r="D40" s="2" t="s">
        <v>123</v>
      </c>
      <c r="E40" s="2" t="s">
        <v>123</v>
      </c>
      <c r="F40" s="2" t="s">
        <v>3</v>
      </c>
      <c r="G40" s="2" t="s">
        <v>2</v>
      </c>
      <c r="H40" s="16"/>
      <c r="I40" s="1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x14ac:dyDescent="0.4">
      <c r="B41" s="2" t="s">
        <v>88</v>
      </c>
      <c r="C41" s="2"/>
      <c r="D41" s="4" t="s">
        <v>111</v>
      </c>
      <c r="E41" s="2" t="s">
        <v>112</v>
      </c>
      <c r="F41" s="2" t="s">
        <v>113</v>
      </c>
      <c r="G41" s="2" t="s">
        <v>102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 x14ac:dyDescent="0.4">
      <c r="B42" s="2" t="s">
        <v>88</v>
      </c>
      <c r="C42" s="2"/>
      <c r="D42" s="2" t="s">
        <v>114</v>
      </c>
      <c r="E42" s="2" t="s">
        <v>14</v>
      </c>
      <c r="F42" s="2" t="s">
        <v>3</v>
      </c>
      <c r="G42" s="2" t="s">
        <v>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 x14ac:dyDescent="0.4">
      <c r="B43" s="2" t="s">
        <v>88</v>
      </c>
      <c r="C43" s="2"/>
      <c r="D43" s="2" t="s">
        <v>115</v>
      </c>
      <c r="E43" s="2"/>
      <c r="F43" s="2" t="s">
        <v>17</v>
      </c>
      <c r="G43" s="2" t="s">
        <v>15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 x14ac:dyDescent="0.4">
      <c r="B44" s="2"/>
      <c r="C44" s="2"/>
      <c r="D44" s="2" t="s">
        <v>116</v>
      </c>
      <c r="E44" s="2"/>
      <c r="F44" s="2" t="s">
        <v>17</v>
      </c>
      <c r="G44" s="2" t="s">
        <v>15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 x14ac:dyDescent="0.4">
      <c r="B45" s="2"/>
      <c r="C45" s="2"/>
      <c r="D45" s="2" t="s">
        <v>117</v>
      </c>
      <c r="E45" s="2"/>
      <c r="F45" s="2" t="s">
        <v>17</v>
      </c>
      <c r="G45" s="2" t="s">
        <v>15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 x14ac:dyDescent="0.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2:21" x14ac:dyDescent="0.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2:21" x14ac:dyDescent="0.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1" x14ac:dyDescent="0.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1" x14ac:dyDescent="0.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2:21" x14ac:dyDescent="0.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2:21" x14ac:dyDescent="0.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2:21" x14ac:dyDescent="0.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2:21" x14ac:dyDescent="0.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2:21" x14ac:dyDescent="0.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2:21" x14ac:dyDescent="0.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2:21" x14ac:dyDescent="0.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2:21" x14ac:dyDescent="0.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2:21" x14ac:dyDescent="0.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2:21" x14ac:dyDescent="0.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2:21" x14ac:dyDescent="0.4">
      <c r="B61" s="3"/>
      <c r="C61" s="3"/>
      <c r="D61" s="3"/>
      <c r="E61" s="3"/>
      <c r="F61" s="3"/>
      <c r="G61" s="3"/>
      <c r="H61" s="3"/>
      <c r="I61" s="3"/>
      <c r="J61" s="3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3">
    <mergeCell ref="E2:F2"/>
    <mergeCell ref="L2:M2"/>
    <mergeCell ref="O2:P2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tabSelected="1" zoomScale="85" zoomScaleNormal="85" workbookViewId="0">
      <pane ySplit="4" topLeftCell="A23" activePane="bottomLeft" state="frozen"/>
      <selection pane="bottomLeft" activeCell="K28" sqref="K28"/>
    </sheetView>
  </sheetViews>
  <sheetFormatPr defaultColWidth="8.625" defaultRowHeight="18.75" x14ac:dyDescent="0.4"/>
  <cols>
    <col min="1" max="1" width="4.25" style="1" customWidth="1"/>
    <col min="2" max="2" width="8.625" style="1"/>
    <col min="3" max="3" width="18.25" style="1" customWidth="1"/>
    <col min="4" max="4" width="27.625" style="1" customWidth="1"/>
    <col min="5" max="5" width="25.375" style="1" bestFit="1" customWidth="1"/>
    <col min="6" max="6" width="36.125" style="1" customWidth="1"/>
    <col min="7" max="7" width="4.25" style="1" customWidth="1"/>
    <col min="8" max="8" width="28.25" style="1" bestFit="1" customWidth="1"/>
    <col min="9" max="9" width="27" style="1" bestFit="1" customWidth="1"/>
    <col min="10" max="10" width="19.25" style="1" bestFit="1" customWidth="1"/>
    <col min="11" max="11" width="22" style="1" bestFit="1" customWidth="1"/>
    <col min="12" max="12" width="14.875" style="1" customWidth="1"/>
    <col min="13" max="13" width="5.875" style="4" customWidth="1"/>
    <col min="14" max="14" width="11.625" style="1" bestFit="1" customWidth="1"/>
    <col min="15" max="15" width="16.75" style="5" bestFit="1" customWidth="1"/>
    <col min="16" max="16" width="30.375" style="5" bestFit="1" customWidth="1"/>
    <col min="17" max="17" width="26.125" style="1" bestFit="1" customWidth="1"/>
    <col min="18" max="18" width="18" style="1" bestFit="1" customWidth="1"/>
    <col min="19" max="19" width="22.625" style="1" customWidth="1"/>
    <col min="20" max="20" width="25.875" style="1" customWidth="1"/>
    <col min="21" max="21" width="12.375" style="1" customWidth="1"/>
    <col min="22" max="22" width="13.375" style="1" bestFit="1" customWidth="1"/>
    <col min="23" max="23" width="12.375" style="1" customWidth="1"/>
    <col min="24" max="24" width="15.625" style="1" bestFit="1" customWidth="1"/>
    <col min="25" max="25" width="12.375" style="1" customWidth="1"/>
    <col min="26" max="26" width="15.625" style="1" bestFit="1" customWidth="1"/>
    <col min="27" max="27" width="12.375" style="1" customWidth="1"/>
    <col min="28" max="28" width="15.625" style="1" bestFit="1" customWidth="1"/>
    <col min="29" max="29" width="16.25" style="1" bestFit="1" customWidth="1"/>
    <col min="30" max="30" width="15.625" style="1" bestFit="1" customWidth="1"/>
    <col min="31" max="31" width="16.25" style="1" bestFit="1" customWidth="1"/>
    <col min="32" max="32" width="15.625" style="1" bestFit="1" customWidth="1"/>
    <col min="33" max="34" width="15.625" style="1" customWidth="1"/>
    <col min="35" max="35" width="25.25" style="1" bestFit="1" customWidth="1"/>
    <col min="36" max="36" width="23" style="5" bestFit="1" customWidth="1"/>
    <col min="37" max="16384" width="8.625" style="1"/>
  </cols>
  <sheetData>
    <row r="1" spans="1:36" s="14" customFormat="1" ht="19.5" x14ac:dyDescent="0.4">
      <c r="A1" s="14" t="s">
        <v>6</v>
      </c>
      <c r="M1" s="15"/>
      <c r="O1" s="29"/>
      <c r="P1" s="29"/>
      <c r="AJ1" s="29"/>
    </row>
    <row r="2" spans="1:36" x14ac:dyDescent="0.4">
      <c r="B2" s="17" t="s">
        <v>33</v>
      </c>
      <c r="C2" s="17" t="s">
        <v>32</v>
      </c>
      <c r="D2" s="17" t="s">
        <v>31</v>
      </c>
      <c r="E2" s="19" t="s">
        <v>140</v>
      </c>
      <c r="F2" s="23" t="s">
        <v>30</v>
      </c>
      <c r="G2" s="23"/>
      <c r="H2" s="23"/>
      <c r="I2" s="17" t="s">
        <v>16</v>
      </c>
      <c r="J2" s="17" t="s">
        <v>35</v>
      </c>
      <c r="K2" s="17" t="s">
        <v>36</v>
      </c>
      <c r="L2" s="17" t="s">
        <v>40</v>
      </c>
      <c r="M2" s="6"/>
      <c r="N2" s="8" t="s">
        <v>50</v>
      </c>
      <c r="O2" s="30" t="s">
        <v>29</v>
      </c>
      <c r="P2" s="31"/>
      <c r="Q2" s="18" t="s">
        <v>239</v>
      </c>
      <c r="R2" s="21" t="s">
        <v>240</v>
      </c>
      <c r="S2" s="21" t="s">
        <v>241</v>
      </c>
      <c r="T2" s="21" t="s">
        <v>242</v>
      </c>
      <c r="U2" s="24" t="s">
        <v>220</v>
      </c>
      <c r="V2" s="24"/>
      <c r="W2" s="34" t="s">
        <v>254</v>
      </c>
      <c r="X2" s="35"/>
      <c r="Y2" s="34" t="s">
        <v>310</v>
      </c>
      <c r="Z2" s="35"/>
      <c r="AA2" s="34" t="s">
        <v>311</v>
      </c>
      <c r="AB2" s="35"/>
      <c r="AC2" s="34" t="s">
        <v>312</v>
      </c>
      <c r="AD2" s="35"/>
      <c r="AE2" s="34" t="s">
        <v>313</v>
      </c>
      <c r="AF2" s="35"/>
      <c r="AG2" s="37" t="s">
        <v>314</v>
      </c>
      <c r="AH2" s="37" t="s">
        <v>276</v>
      </c>
      <c r="AI2" s="8" t="s">
        <v>218</v>
      </c>
      <c r="AJ2" s="20" t="s">
        <v>138</v>
      </c>
    </row>
    <row r="3" spans="1:36" x14ac:dyDescent="0.4">
      <c r="B3" s="25"/>
      <c r="C3" s="25"/>
      <c r="D3" s="25"/>
      <c r="E3" s="26"/>
      <c r="F3" s="26"/>
      <c r="G3" s="38"/>
      <c r="H3" s="27"/>
      <c r="I3" s="25"/>
      <c r="J3" s="25" t="s">
        <v>251</v>
      </c>
      <c r="K3" s="25"/>
      <c r="L3" s="25"/>
      <c r="M3" s="6"/>
      <c r="N3" s="28"/>
      <c r="O3" s="32"/>
      <c r="P3" s="33"/>
      <c r="Q3" s="21" t="s">
        <v>327</v>
      </c>
      <c r="R3" s="36" t="s">
        <v>302</v>
      </c>
      <c r="S3" s="36" t="s">
        <v>305</v>
      </c>
      <c r="T3" s="36" t="s">
        <v>301</v>
      </c>
      <c r="U3" s="34" t="s">
        <v>170</v>
      </c>
      <c r="V3" s="35"/>
      <c r="W3" s="34" t="s">
        <v>281</v>
      </c>
      <c r="X3" s="35"/>
      <c r="Y3" s="34" t="s">
        <v>280</v>
      </c>
      <c r="Z3" s="35"/>
      <c r="AA3" s="34" t="s">
        <v>279</v>
      </c>
      <c r="AB3" s="35"/>
      <c r="AC3" s="34" t="s">
        <v>284</v>
      </c>
      <c r="AD3" s="35"/>
      <c r="AE3" s="34" t="s">
        <v>283</v>
      </c>
      <c r="AF3" s="35"/>
      <c r="AG3" s="37" t="s">
        <v>277</v>
      </c>
      <c r="AH3" s="37" t="s">
        <v>278</v>
      </c>
      <c r="AI3" s="28"/>
      <c r="AJ3" s="25" t="s">
        <v>253</v>
      </c>
    </row>
    <row r="4" spans="1:36" s="5" customFormat="1" x14ac:dyDescent="0.4">
      <c r="B4" s="10"/>
      <c r="C4" s="10"/>
      <c r="D4" s="10"/>
      <c r="E4" s="11"/>
      <c r="F4" s="11"/>
      <c r="G4" s="39"/>
      <c r="H4" s="12"/>
      <c r="I4" s="10"/>
      <c r="J4" s="10"/>
      <c r="K4" s="10"/>
      <c r="L4" s="10"/>
      <c r="M4" s="6"/>
      <c r="N4" s="10"/>
      <c r="O4" s="13" t="s">
        <v>245</v>
      </c>
      <c r="P4" s="13" t="s">
        <v>246</v>
      </c>
      <c r="Q4" s="13" t="s">
        <v>328</v>
      </c>
      <c r="R4" s="13" t="s">
        <v>303</v>
      </c>
      <c r="S4" s="13" t="s">
        <v>304</v>
      </c>
      <c r="T4" s="13" t="s">
        <v>299</v>
      </c>
      <c r="U4" s="13" t="s">
        <v>247</v>
      </c>
      <c r="V4" s="13" t="s">
        <v>248</v>
      </c>
      <c r="W4" s="13" t="s">
        <v>255</v>
      </c>
      <c r="X4" s="13" t="s">
        <v>257</v>
      </c>
      <c r="Y4" s="13" t="s">
        <v>262</v>
      </c>
      <c r="Z4" s="13" t="s">
        <v>257</v>
      </c>
      <c r="AA4" s="13" t="s">
        <v>263</v>
      </c>
      <c r="AB4" s="13" t="s">
        <v>257</v>
      </c>
      <c r="AC4" s="13" t="s">
        <v>285</v>
      </c>
      <c r="AD4" s="13" t="s">
        <v>257</v>
      </c>
      <c r="AE4" s="13" t="s">
        <v>286</v>
      </c>
      <c r="AF4" s="13" t="s">
        <v>282</v>
      </c>
      <c r="AG4" s="13" t="s">
        <v>266</v>
      </c>
      <c r="AH4" s="13" t="s">
        <v>267</v>
      </c>
      <c r="AI4" s="10"/>
      <c r="AJ4" s="10"/>
    </row>
    <row r="5" spans="1:36" x14ac:dyDescent="0.4">
      <c r="B5" s="41" t="s">
        <v>5</v>
      </c>
      <c r="C5" s="41" t="s">
        <v>1</v>
      </c>
      <c r="D5" s="41" t="s">
        <v>0</v>
      </c>
      <c r="E5" s="41" t="s">
        <v>172</v>
      </c>
      <c r="F5" s="41" t="s">
        <v>14</v>
      </c>
      <c r="G5" s="41">
        <f>ROW()-4</f>
        <v>1</v>
      </c>
      <c r="H5" s="41" t="s">
        <v>3</v>
      </c>
      <c r="I5" s="42" t="s">
        <v>238</v>
      </c>
      <c r="J5" s="41" t="s">
        <v>12</v>
      </c>
      <c r="K5" s="41" t="s">
        <v>164</v>
      </c>
      <c r="L5" s="41" t="s">
        <v>192</v>
      </c>
      <c r="M5" s="41"/>
      <c r="N5" s="41" t="s">
        <v>38</v>
      </c>
      <c r="O5" s="43" t="s">
        <v>321</v>
      </c>
      <c r="P5" s="44" t="s">
        <v>12</v>
      </c>
      <c r="Q5" s="49" t="s">
        <v>326</v>
      </c>
      <c r="R5" s="43"/>
      <c r="S5" s="43"/>
      <c r="T5" s="43"/>
      <c r="U5" s="45" t="s">
        <v>12</v>
      </c>
      <c r="V5" s="45" t="s">
        <v>12</v>
      </c>
      <c r="W5" s="45" t="s">
        <v>12</v>
      </c>
      <c r="X5" s="45" t="s">
        <v>12</v>
      </c>
      <c r="Y5" s="45" t="s">
        <v>12</v>
      </c>
      <c r="Z5" s="45" t="s">
        <v>12</v>
      </c>
      <c r="AA5" s="45" t="s">
        <v>12</v>
      </c>
      <c r="AB5" s="45" t="s">
        <v>12</v>
      </c>
      <c r="AC5" s="45" t="s">
        <v>12</v>
      </c>
      <c r="AD5" s="45" t="s">
        <v>12</v>
      </c>
      <c r="AE5" s="45" t="s">
        <v>12</v>
      </c>
      <c r="AF5" s="45" t="s">
        <v>12</v>
      </c>
      <c r="AG5" s="45" t="s">
        <v>12</v>
      </c>
      <c r="AH5" s="45" t="s">
        <v>12</v>
      </c>
      <c r="AI5" s="46" t="s">
        <v>329</v>
      </c>
      <c r="AJ5" s="44" t="b">
        <v>0</v>
      </c>
    </row>
    <row r="6" spans="1:36" x14ac:dyDescent="0.4">
      <c r="B6" s="46" t="s">
        <v>5</v>
      </c>
      <c r="C6" s="46" t="s">
        <v>1</v>
      </c>
      <c r="D6" s="46" t="s">
        <v>7</v>
      </c>
      <c r="E6" s="46" t="s">
        <v>135</v>
      </c>
      <c r="F6" s="46" t="s">
        <v>150</v>
      </c>
      <c r="G6" s="46">
        <f t="shared" ref="G6:G44" si="0">ROW()-4</f>
        <v>2</v>
      </c>
      <c r="H6" s="46" t="s">
        <v>4</v>
      </c>
      <c r="I6" s="47" t="s">
        <v>237</v>
      </c>
      <c r="J6" s="46" t="s">
        <v>143</v>
      </c>
      <c r="K6" s="46" t="s">
        <v>165</v>
      </c>
      <c r="L6" s="48" t="s">
        <v>12</v>
      </c>
      <c r="M6" s="46"/>
      <c r="N6" s="46" t="s">
        <v>44</v>
      </c>
      <c r="O6" s="49" t="s">
        <v>321</v>
      </c>
      <c r="P6" s="49" t="s">
        <v>322</v>
      </c>
      <c r="Q6" s="50" t="s">
        <v>12</v>
      </c>
      <c r="R6" s="50"/>
      <c r="S6" s="50"/>
      <c r="T6" s="50"/>
      <c r="U6" s="50" t="s">
        <v>12</v>
      </c>
      <c r="V6" s="50" t="s">
        <v>12</v>
      </c>
      <c r="W6" s="50" t="s">
        <v>12</v>
      </c>
      <c r="X6" s="50" t="s">
        <v>12</v>
      </c>
      <c r="Y6" s="50" t="s">
        <v>12</v>
      </c>
      <c r="Z6" s="50" t="s">
        <v>12</v>
      </c>
      <c r="AA6" s="50" t="s">
        <v>12</v>
      </c>
      <c r="AB6" s="50" t="s">
        <v>12</v>
      </c>
      <c r="AC6" s="50" t="s">
        <v>12</v>
      </c>
      <c r="AD6" s="50" t="s">
        <v>12</v>
      </c>
      <c r="AE6" s="50" t="s">
        <v>12</v>
      </c>
      <c r="AF6" s="50" t="s">
        <v>12</v>
      </c>
      <c r="AG6" s="50" t="s">
        <v>12</v>
      </c>
      <c r="AH6" s="50" t="s">
        <v>12</v>
      </c>
      <c r="AI6" s="46" t="s">
        <v>219</v>
      </c>
      <c r="AJ6" s="51" t="s">
        <v>252</v>
      </c>
    </row>
    <row r="7" spans="1:36" x14ac:dyDescent="0.4">
      <c r="B7" s="46" t="s">
        <v>5</v>
      </c>
      <c r="C7" s="46" t="s">
        <v>139</v>
      </c>
      <c r="D7" s="46" t="s">
        <v>176</v>
      </c>
      <c r="E7" s="46" t="s">
        <v>173</v>
      </c>
      <c r="F7" s="46" t="s">
        <v>185</v>
      </c>
      <c r="G7" s="46">
        <f t="shared" si="0"/>
        <v>3</v>
      </c>
      <c r="H7" s="46" t="s">
        <v>141</v>
      </c>
      <c r="I7" s="47" t="s">
        <v>237</v>
      </c>
      <c r="J7" s="46" t="s">
        <v>142</v>
      </c>
      <c r="K7" s="46" t="s">
        <v>164</v>
      </c>
      <c r="L7" s="46" t="s">
        <v>243</v>
      </c>
      <c r="M7" s="46"/>
      <c r="N7" s="46" t="s">
        <v>38</v>
      </c>
      <c r="O7" s="51" t="s">
        <v>12</v>
      </c>
      <c r="P7" s="51" t="s">
        <v>12</v>
      </c>
      <c r="Q7" s="50" t="s">
        <v>12</v>
      </c>
      <c r="R7" s="50"/>
      <c r="S7" s="50"/>
      <c r="T7" s="50"/>
      <c r="U7" s="46" t="s">
        <v>137</v>
      </c>
      <c r="V7" s="46" t="s">
        <v>244</v>
      </c>
      <c r="W7" s="50" t="s">
        <v>12</v>
      </c>
      <c r="X7" s="50" t="s">
        <v>12</v>
      </c>
      <c r="Y7" s="50" t="s">
        <v>12</v>
      </c>
      <c r="Z7" s="50" t="s">
        <v>12</v>
      </c>
      <c r="AA7" s="50" t="s">
        <v>12</v>
      </c>
      <c r="AB7" s="50" t="s">
        <v>12</v>
      </c>
      <c r="AC7" s="50" t="s">
        <v>12</v>
      </c>
      <c r="AD7" s="50" t="s">
        <v>12</v>
      </c>
      <c r="AE7" s="50" t="s">
        <v>12</v>
      </c>
      <c r="AF7" s="50" t="s">
        <v>12</v>
      </c>
      <c r="AG7" s="50" t="s">
        <v>12</v>
      </c>
      <c r="AH7" s="50" t="s">
        <v>12</v>
      </c>
      <c r="AI7" s="46" t="s">
        <v>136</v>
      </c>
      <c r="AJ7" s="51" t="b">
        <v>1</v>
      </c>
    </row>
    <row r="8" spans="1:36" x14ac:dyDescent="0.4">
      <c r="B8" s="46" t="s">
        <v>5</v>
      </c>
      <c r="C8" s="46" t="s">
        <v>139</v>
      </c>
      <c r="D8" s="46" t="s">
        <v>177</v>
      </c>
      <c r="E8" s="46" t="s">
        <v>174</v>
      </c>
      <c r="F8" s="46" t="s">
        <v>186</v>
      </c>
      <c r="G8" s="46">
        <f t="shared" si="0"/>
        <v>4</v>
      </c>
      <c r="H8" s="46" t="s">
        <v>144</v>
      </c>
      <c r="I8" s="47" t="s">
        <v>237</v>
      </c>
      <c r="J8" s="46" t="s">
        <v>145</v>
      </c>
      <c r="K8" s="46" t="s">
        <v>164</v>
      </c>
      <c r="L8" s="46" t="s">
        <v>243</v>
      </c>
      <c r="M8" s="46"/>
      <c r="N8" s="46" t="s">
        <v>38</v>
      </c>
      <c r="O8" s="51" t="s">
        <v>12</v>
      </c>
      <c r="P8" s="51" t="s">
        <v>12</v>
      </c>
      <c r="Q8" s="50" t="s">
        <v>12</v>
      </c>
      <c r="R8" s="50"/>
      <c r="S8" s="50"/>
      <c r="T8" s="50"/>
      <c r="U8" s="46" t="s">
        <v>145</v>
      </c>
      <c r="V8" s="46" t="s">
        <v>244</v>
      </c>
      <c r="W8" s="50" t="s">
        <v>12</v>
      </c>
      <c r="X8" s="50" t="s">
        <v>12</v>
      </c>
      <c r="Y8" s="50" t="s">
        <v>12</v>
      </c>
      <c r="Z8" s="50" t="s">
        <v>12</v>
      </c>
      <c r="AA8" s="50" t="s">
        <v>12</v>
      </c>
      <c r="AB8" s="50" t="s">
        <v>12</v>
      </c>
      <c r="AC8" s="50" t="s">
        <v>12</v>
      </c>
      <c r="AD8" s="50" t="s">
        <v>12</v>
      </c>
      <c r="AE8" s="50" t="s">
        <v>12</v>
      </c>
      <c r="AF8" s="50" t="s">
        <v>12</v>
      </c>
      <c r="AG8" s="50" t="s">
        <v>12</v>
      </c>
      <c r="AH8" s="50" t="s">
        <v>12</v>
      </c>
      <c r="AI8" s="46" t="s">
        <v>136</v>
      </c>
      <c r="AJ8" s="51" t="b">
        <v>1</v>
      </c>
    </row>
    <row r="9" spans="1:36" x14ac:dyDescent="0.4">
      <c r="B9" s="46" t="s">
        <v>5</v>
      </c>
      <c r="C9" s="46" t="s">
        <v>139</v>
      </c>
      <c r="D9" s="46" t="s">
        <v>178</v>
      </c>
      <c r="E9" s="46" t="s">
        <v>175</v>
      </c>
      <c r="F9" s="46" t="s">
        <v>187</v>
      </c>
      <c r="G9" s="46">
        <f t="shared" si="0"/>
        <v>5</v>
      </c>
      <c r="H9" s="46" t="s">
        <v>146</v>
      </c>
      <c r="I9" s="47" t="s">
        <v>237</v>
      </c>
      <c r="J9" s="46" t="s">
        <v>147</v>
      </c>
      <c r="K9" s="46" t="s">
        <v>164</v>
      </c>
      <c r="L9" s="46" t="s">
        <v>243</v>
      </c>
      <c r="M9" s="46"/>
      <c r="N9" s="46" t="s">
        <v>38</v>
      </c>
      <c r="O9" s="51" t="s">
        <v>12</v>
      </c>
      <c r="P9" s="51" t="s">
        <v>12</v>
      </c>
      <c r="Q9" s="50" t="s">
        <v>12</v>
      </c>
      <c r="R9" s="50"/>
      <c r="S9" s="50"/>
      <c r="T9" s="50"/>
      <c r="U9" s="46" t="s">
        <v>147</v>
      </c>
      <c r="V9" s="46" t="s">
        <v>244</v>
      </c>
      <c r="W9" s="50" t="s">
        <v>12</v>
      </c>
      <c r="X9" s="50" t="s">
        <v>12</v>
      </c>
      <c r="Y9" s="50" t="s">
        <v>12</v>
      </c>
      <c r="Z9" s="50" t="s">
        <v>12</v>
      </c>
      <c r="AA9" s="50" t="s">
        <v>12</v>
      </c>
      <c r="AB9" s="50" t="s">
        <v>12</v>
      </c>
      <c r="AC9" s="50" t="s">
        <v>12</v>
      </c>
      <c r="AD9" s="50" t="s">
        <v>12</v>
      </c>
      <c r="AE9" s="50" t="s">
        <v>12</v>
      </c>
      <c r="AF9" s="50" t="s">
        <v>12</v>
      </c>
      <c r="AG9" s="50" t="s">
        <v>12</v>
      </c>
      <c r="AH9" s="50" t="s">
        <v>12</v>
      </c>
      <c r="AI9" s="46" t="s">
        <v>136</v>
      </c>
      <c r="AJ9" s="51" t="b">
        <v>1</v>
      </c>
    </row>
    <row r="10" spans="1:36" s="40" customFormat="1" x14ac:dyDescent="0.4">
      <c r="B10" s="47" t="s">
        <v>5</v>
      </c>
      <c r="C10" s="47" t="s">
        <v>139</v>
      </c>
      <c r="D10" s="52" t="s">
        <v>53</v>
      </c>
      <c r="E10" s="52" t="s">
        <v>148</v>
      </c>
      <c r="F10" s="52" t="s">
        <v>149</v>
      </c>
      <c r="G10" s="52">
        <f t="shared" si="0"/>
        <v>6</v>
      </c>
      <c r="H10" s="52" t="s">
        <v>132</v>
      </c>
      <c r="I10" s="47" t="s">
        <v>237</v>
      </c>
      <c r="J10" s="47" t="s">
        <v>143</v>
      </c>
      <c r="K10" s="46" t="s">
        <v>165</v>
      </c>
      <c r="L10" s="50" t="s">
        <v>12</v>
      </c>
      <c r="M10" s="47"/>
      <c r="N10" s="47" t="s">
        <v>217</v>
      </c>
      <c r="O10" s="49" t="s">
        <v>321</v>
      </c>
      <c r="P10" s="49" t="s">
        <v>322</v>
      </c>
      <c r="Q10" s="50" t="s">
        <v>12</v>
      </c>
      <c r="R10" s="50"/>
      <c r="S10" s="50"/>
      <c r="T10" s="50"/>
      <c r="U10" s="50" t="s">
        <v>12</v>
      </c>
      <c r="V10" s="50" t="s">
        <v>12</v>
      </c>
      <c r="W10" s="50" t="s">
        <v>12</v>
      </c>
      <c r="X10" s="50" t="s">
        <v>12</v>
      </c>
      <c r="Y10" s="50" t="s">
        <v>12</v>
      </c>
      <c r="Z10" s="50" t="s">
        <v>12</v>
      </c>
      <c r="AA10" s="50" t="s">
        <v>12</v>
      </c>
      <c r="AB10" s="50" t="s">
        <v>12</v>
      </c>
      <c r="AC10" s="50" t="s">
        <v>12</v>
      </c>
      <c r="AD10" s="50" t="s">
        <v>12</v>
      </c>
      <c r="AE10" s="50" t="s">
        <v>12</v>
      </c>
      <c r="AF10" s="50" t="s">
        <v>12</v>
      </c>
      <c r="AG10" s="50" t="s">
        <v>12</v>
      </c>
      <c r="AH10" s="50" t="s">
        <v>12</v>
      </c>
      <c r="AI10" s="46" t="s">
        <v>219</v>
      </c>
      <c r="AJ10" s="51" t="s">
        <v>252</v>
      </c>
    </row>
    <row r="11" spans="1:36" x14ac:dyDescent="0.4">
      <c r="B11" s="46" t="s">
        <v>5</v>
      </c>
      <c r="C11" s="46" t="s">
        <v>56</v>
      </c>
      <c r="D11" s="46" t="s">
        <v>153</v>
      </c>
      <c r="E11" s="46" t="s">
        <v>154</v>
      </c>
      <c r="F11" s="46" t="s">
        <v>58</v>
      </c>
      <c r="G11" s="46">
        <f t="shared" si="0"/>
        <v>7</v>
      </c>
      <c r="H11" s="46" t="s">
        <v>155</v>
      </c>
      <c r="I11" s="47" t="s">
        <v>237</v>
      </c>
      <c r="J11" s="47" t="s">
        <v>143</v>
      </c>
      <c r="K11" s="48" t="s">
        <v>12</v>
      </c>
      <c r="L11" s="46" t="s">
        <v>12</v>
      </c>
      <c r="M11" s="46"/>
      <c r="N11" s="47" t="s">
        <v>217</v>
      </c>
      <c r="O11" s="49" t="s">
        <v>321</v>
      </c>
      <c r="P11" s="49" t="s">
        <v>322</v>
      </c>
      <c r="Q11" s="50" t="s">
        <v>12</v>
      </c>
      <c r="R11" s="50"/>
      <c r="S11" s="50"/>
      <c r="T11" s="50"/>
      <c r="U11" s="50" t="s">
        <v>12</v>
      </c>
      <c r="V11" s="50" t="s">
        <v>12</v>
      </c>
      <c r="W11" s="50" t="s">
        <v>12</v>
      </c>
      <c r="X11" s="50" t="s">
        <v>12</v>
      </c>
      <c r="Y11" s="50" t="s">
        <v>12</v>
      </c>
      <c r="Z11" s="50" t="s">
        <v>12</v>
      </c>
      <c r="AA11" s="50" t="s">
        <v>12</v>
      </c>
      <c r="AB11" s="50" t="s">
        <v>12</v>
      </c>
      <c r="AC11" s="50" t="s">
        <v>12</v>
      </c>
      <c r="AD11" s="50" t="s">
        <v>12</v>
      </c>
      <c r="AE11" s="50" t="s">
        <v>12</v>
      </c>
      <c r="AF11" s="50" t="s">
        <v>12</v>
      </c>
      <c r="AG11" s="50" t="s">
        <v>12</v>
      </c>
      <c r="AH11" s="50" t="s">
        <v>12</v>
      </c>
      <c r="AI11" s="46" t="s">
        <v>219</v>
      </c>
      <c r="AJ11" s="51" t="s">
        <v>252</v>
      </c>
    </row>
    <row r="12" spans="1:36" x14ac:dyDescent="0.4">
      <c r="B12" s="46" t="s">
        <v>5</v>
      </c>
      <c r="C12" s="46" t="s">
        <v>60</v>
      </c>
      <c r="D12" s="46" t="s">
        <v>176</v>
      </c>
      <c r="E12" s="46" t="s">
        <v>173</v>
      </c>
      <c r="F12" s="46" t="s">
        <v>185</v>
      </c>
      <c r="G12" s="46">
        <f t="shared" si="0"/>
        <v>8</v>
      </c>
      <c r="H12" s="46" t="s">
        <v>141</v>
      </c>
      <c r="I12" s="47" t="s">
        <v>237</v>
      </c>
      <c r="J12" s="46" t="s">
        <v>142</v>
      </c>
      <c r="K12" s="46" t="s">
        <v>164</v>
      </c>
      <c r="L12" s="46" t="s">
        <v>128</v>
      </c>
      <c r="M12" s="46"/>
      <c r="N12" s="46" t="s">
        <v>38</v>
      </c>
      <c r="O12" s="51" t="s">
        <v>12</v>
      </c>
      <c r="P12" s="51" t="s">
        <v>12</v>
      </c>
      <c r="Q12" s="50" t="s">
        <v>12</v>
      </c>
      <c r="R12" s="50"/>
      <c r="S12" s="50"/>
      <c r="T12" s="50"/>
      <c r="U12" s="46" t="s">
        <v>137</v>
      </c>
      <c r="V12" s="46" t="s">
        <v>244</v>
      </c>
      <c r="W12" s="50" t="s">
        <v>12</v>
      </c>
      <c r="X12" s="50" t="s">
        <v>12</v>
      </c>
      <c r="Y12" s="50" t="s">
        <v>12</v>
      </c>
      <c r="Z12" s="50" t="s">
        <v>12</v>
      </c>
      <c r="AA12" s="50" t="s">
        <v>12</v>
      </c>
      <c r="AB12" s="50" t="s">
        <v>12</v>
      </c>
      <c r="AC12" s="50" t="s">
        <v>12</v>
      </c>
      <c r="AD12" s="50" t="s">
        <v>12</v>
      </c>
      <c r="AE12" s="50" t="s">
        <v>12</v>
      </c>
      <c r="AF12" s="50" t="s">
        <v>12</v>
      </c>
      <c r="AG12" s="50" t="s">
        <v>12</v>
      </c>
      <c r="AH12" s="50" t="s">
        <v>12</v>
      </c>
      <c r="AI12" s="46" t="s">
        <v>136</v>
      </c>
      <c r="AJ12" s="51" t="b">
        <v>1</v>
      </c>
    </row>
    <row r="13" spans="1:36" x14ac:dyDescent="0.4">
      <c r="B13" s="46" t="s">
        <v>5</v>
      </c>
      <c r="C13" s="46" t="s">
        <v>60</v>
      </c>
      <c r="D13" s="46" t="s">
        <v>177</v>
      </c>
      <c r="E13" s="46" t="s">
        <v>174</v>
      </c>
      <c r="F13" s="46" t="s">
        <v>186</v>
      </c>
      <c r="G13" s="46">
        <f t="shared" si="0"/>
        <v>9</v>
      </c>
      <c r="H13" s="46" t="s">
        <v>144</v>
      </c>
      <c r="I13" s="47" t="s">
        <v>237</v>
      </c>
      <c r="J13" s="46" t="s">
        <v>145</v>
      </c>
      <c r="K13" s="46" t="s">
        <v>164</v>
      </c>
      <c r="L13" s="46" t="s">
        <v>128</v>
      </c>
      <c r="M13" s="46"/>
      <c r="N13" s="46" t="s">
        <v>38</v>
      </c>
      <c r="O13" s="51" t="s">
        <v>12</v>
      </c>
      <c r="P13" s="51" t="s">
        <v>12</v>
      </c>
      <c r="Q13" s="50" t="s">
        <v>12</v>
      </c>
      <c r="R13" s="50"/>
      <c r="S13" s="50"/>
      <c r="T13" s="50"/>
      <c r="U13" s="46" t="s">
        <v>145</v>
      </c>
      <c r="V13" s="46" t="s">
        <v>244</v>
      </c>
      <c r="W13" s="50" t="s">
        <v>12</v>
      </c>
      <c r="X13" s="50" t="s">
        <v>12</v>
      </c>
      <c r="Y13" s="50" t="s">
        <v>12</v>
      </c>
      <c r="Z13" s="50" t="s">
        <v>12</v>
      </c>
      <c r="AA13" s="50" t="s">
        <v>12</v>
      </c>
      <c r="AB13" s="50" t="s">
        <v>12</v>
      </c>
      <c r="AC13" s="50" t="s">
        <v>12</v>
      </c>
      <c r="AD13" s="50" t="s">
        <v>12</v>
      </c>
      <c r="AE13" s="50" t="s">
        <v>12</v>
      </c>
      <c r="AF13" s="50" t="s">
        <v>12</v>
      </c>
      <c r="AG13" s="50" t="s">
        <v>12</v>
      </c>
      <c r="AH13" s="50" t="s">
        <v>12</v>
      </c>
      <c r="AI13" s="46" t="s">
        <v>136</v>
      </c>
      <c r="AJ13" s="51" t="b">
        <v>1</v>
      </c>
    </row>
    <row r="14" spans="1:36" x14ac:dyDescent="0.4">
      <c r="B14" s="46" t="s">
        <v>5</v>
      </c>
      <c r="C14" s="46" t="s">
        <v>60</v>
      </c>
      <c r="D14" s="46" t="s">
        <v>178</v>
      </c>
      <c r="E14" s="46" t="s">
        <v>175</v>
      </c>
      <c r="F14" s="46" t="s">
        <v>187</v>
      </c>
      <c r="G14" s="46">
        <f t="shared" si="0"/>
        <v>10</v>
      </c>
      <c r="H14" s="46" t="s">
        <v>146</v>
      </c>
      <c r="I14" s="47" t="s">
        <v>237</v>
      </c>
      <c r="J14" s="46" t="s">
        <v>147</v>
      </c>
      <c r="K14" s="46" t="s">
        <v>164</v>
      </c>
      <c r="L14" s="46" t="s">
        <v>128</v>
      </c>
      <c r="M14" s="46"/>
      <c r="N14" s="46" t="s">
        <v>38</v>
      </c>
      <c r="O14" s="51" t="s">
        <v>12</v>
      </c>
      <c r="P14" s="51" t="s">
        <v>12</v>
      </c>
      <c r="Q14" s="50" t="s">
        <v>12</v>
      </c>
      <c r="R14" s="50"/>
      <c r="S14" s="50"/>
      <c r="T14" s="50"/>
      <c r="U14" s="46" t="s">
        <v>147</v>
      </c>
      <c r="V14" s="46" t="s">
        <v>244</v>
      </c>
      <c r="W14" s="50" t="s">
        <v>12</v>
      </c>
      <c r="X14" s="50" t="s">
        <v>12</v>
      </c>
      <c r="Y14" s="50" t="s">
        <v>12</v>
      </c>
      <c r="Z14" s="50" t="s">
        <v>12</v>
      </c>
      <c r="AA14" s="50" t="s">
        <v>12</v>
      </c>
      <c r="AB14" s="50" t="s">
        <v>12</v>
      </c>
      <c r="AC14" s="50" t="s">
        <v>12</v>
      </c>
      <c r="AD14" s="50" t="s">
        <v>12</v>
      </c>
      <c r="AE14" s="50" t="s">
        <v>12</v>
      </c>
      <c r="AF14" s="50" t="s">
        <v>12</v>
      </c>
      <c r="AG14" s="50" t="s">
        <v>12</v>
      </c>
      <c r="AH14" s="50" t="s">
        <v>12</v>
      </c>
      <c r="AI14" s="46" t="s">
        <v>136</v>
      </c>
      <c r="AJ14" s="51" t="b">
        <v>1</v>
      </c>
    </row>
    <row r="15" spans="1:36" x14ac:dyDescent="0.4">
      <c r="B15" s="46" t="s">
        <v>5</v>
      </c>
      <c r="C15" s="46" t="s">
        <v>60</v>
      </c>
      <c r="D15" s="46" t="s">
        <v>61</v>
      </c>
      <c r="E15" s="46" t="s">
        <v>160</v>
      </c>
      <c r="F15" s="46" t="s">
        <v>62</v>
      </c>
      <c r="G15" s="46">
        <f t="shared" si="0"/>
        <v>11</v>
      </c>
      <c r="H15" s="46" t="s">
        <v>159</v>
      </c>
      <c r="I15" s="47" t="s">
        <v>237</v>
      </c>
      <c r="J15" s="46" t="s">
        <v>250</v>
      </c>
      <c r="K15" s="46" t="s">
        <v>165</v>
      </c>
      <c r="L15" s="46" t="s">
        <v>12</v>
      </c>
      <c r="M15" s="46"/>
      <c r="N15" s="47" t="s">
        <v>134</v>
      </c>
      <c r="O15" s="49" t="s">
        <v>321</v>
      </c>
      <c r="P15" s="51" t="s">
        <v>249</v>
      </c>
      <c r="Q15" s="50" t="s">
        <v>12</v>
      </c>
      <c r="R15" s="50"/>
      <c r="S15" s="50"/>
      <c r="T15" s="50"/>
      <c r="U15" s="50" t="s">
        <v>12</v>
      </c>
      <c r="V15" s="50" t="s">
        <v>12</v>
      </c>
      <c r="W15" s="50" t="s">
        <v>12</v>
      </c>
      <c r="X15" s="50" t="s">
        <v>12</v>
      </c>
      <c r="Y15" s="50" t="s">
        <v>12</v>
      </c>
      <c r="Z15" s="50" t="s">
        <v>12</v>
      </c>
      <c r="AA15" s="50" t="s">
        <v>12</v>
      </c>
      <c r="AB15" s="50" t="s">
        <v>12</v>
      </c>
      <c r="AC15" s="50" t="s">
        <v>12</v>
      </c>
      <c r="AD15" s="50" t="s">
        <v>12</v>
      </c>
      <c r="AE15" s="50" t="s">
        <v>12</v>
      </c>
      <c r="AF15" s="50" t="s">
        <v>12</v>
      </c>
      <c r="AG15" s="50" t="s">
        <v>12</v>
      </c>
      <c r="AH15" s="50" t="s">
        <v>12</v>
      </c>
      <c r="AI15" s="50" t="s">
        <v>12</v>
      </c>
      <c r="AJ15" s="51" t="s">
        <v>252</v>
      </c>
    </row>
    <row r="16" spans="1:36" s="40" customFormat="1" x14ac:dyDescent="0.4">
      <c r="B16" s="47" t="s">
        <v>5</v>
      </c>
      <c r="C16" s="52" t="s">
        <v>156</v>
      </c>
      <c r="D16" s="52" t="s">
        <v>157</v>
      </c>
      <c r="E16" s="52" t="s">
        <v>158</v>
      </c>
      <c r="F16" s="52" t="s">
        <v>64</v>
      </c>
      <c r="G16" s="52">
        <f t="shared" si="0"/>
        <v>12</v>
      </c>
      <c r="H16" s="52" t="s">
        <v>133</v>
      </c>
      <c r="I16" s="47" t="s">
        <v>237</v>
      </c>
      <c r="J16" s="52" t="s">
        <v>215</v>
      </c>
      <c r="K16" s="46" t="s">
        <v>216</v>
      </c>
      <c r="L16" s="53"/>
      <c r="M16" s="47"/>
      <c r="N16" s="47" t="s">
        <v>134</v>
      </c>
      <c r="O16" s="51" t="s">
        <v>128</v>
      </c>
      <c r="P16" s="51" t="s">
        <v>12</v>
      </c>
      <c r="Q16" s="50" t="s">
        <v>12</v>
      </c>
      <c r="R16" s="50"/>
      <c r="S16" s="50"/>
      <c r="T16" s="50"/>
      <c r="U16" s="50" t="s">
        <v>12</v>
      </c>
      <c r="V16" s="50" t="s">
        <v>12</v>
      </c>
      <c r="W16" s="50" t="s">
        <v>12</v>
      </c>
      <c r="X16" s="50" t="s">
        <v>12</v>
      </c>
      <c r="Y16" s="50" t="s">
        <v>12</v>
      </c>
      <c r="Z16" s="50" t="s">
        <v>12</v>
      </c>
      <c r="AA16" s="50" t="s">
        <v>12</v>
      </c>
      <c r="AB16" s="50" t="s">
        <v>12</v>
      </c>
      <c r="AC16" s="50" t="s">
        <v>12</v>
      </c>
      <c r="AD16" s="50" t="s">
        <v>12</v>
      </c>
      <c r="AE16" s="50" t="s">
        <v>12</v>
      </c>
      <c r="AF16" s="50" t="s">
        <v>12</v>
      </c>
      <c r="AG16" s="50" t="s">
        <v>12</v>
      </c>
      <c r="AH16" s="50" t="s">
        <v>12</v>
      </c>
      <c r="AI16" s="50" t="s">
        <v>12</v>
      </c>
      <c r="AJ16" s="51" t="s">
        <v>252</v>
      </c>
    </row>
    <row r="17" spans="2:36" x14ac:dyDescent="0.4">
      <c r="B17" s="46" t="s">
        <v>49</v>
      </c>
      <c r="C17" s="46" t="s">
        <v>179</v>
      </c>
      <c r="D17" s="46" t="s">
        <v>0</v>
      </c>
      <c r="E17" s="46" t="s">
        <v>269</v>
      </c>
      <c r="F17" s="46" t="s">
        <v>270</v>
      </c>
      <c r="G17" s="46">
        <f t="shared" si="0"/>
        <v>13</v>
      </c>
      <c r="H17" s="46" t="s">
        <v>271</v>
      </c>
      <c r="I17" s="52" t="s">
        <v>237</v>
      </c>
      <c r="J17" s="46" t="s">
        <v>163</v>
      </c>
      <c r="K17" s="46" t="s">
        <v>167</v>
      </c>
      <c r="L17" s="46" t="s">
        <v>163</v>
      </c>
      <c r="M17" s="46"/>
      <c r="N17" s="46" t="s">
        <v>171</v>
      </c>
      <c r="O17" s="51" t="s">
        <v>325</v>
      </c>
      <c r="P17" s="51" t="s">
        <v>12</v>
      </c>
      <c r="Q17" s="49" t="s">
        <v>326</v>
      </c>
      <c r="R17" s="46"/>
      <c r="S17" s="46"/>
      <c r="T17" s="46"/>
      <c r="U17" s="46" t="s">
        <v>163</v>
      </c>
      <c r="V17" s="46" t="s">
        <v>163</v>
      </c>
      <c r="W17" s="46" t="s">
        <v>12</v>
      </c>
      <c r="X17" s="46" t="s">
        <v>12</v>
      </c>
      <c r="Y17" s="46" t="s">
        <v>12</v>
      </c>
      <c r="Z17" s="46" t="s">
        <v>12</v>
      </c>
      <c r="AA17" s="46" t="s">
        <v>12</v>
      </c>
      <c r="AB17" s="46" t="s">
        <v>12</v>
      </c>
      <c r="AC17" s="46" t="s">
        <v>12</v>
      </c>
      <c r="AD17" s="46" t="s">
        <v>12</v>
      </c>
      <c r="AE17" s="46" t="s">
        <v>12</v>
      </c>
      <c r="AF17" s="46" t="s">
        <v>12</v>
      </c>
      <c r="AG17" s="46" t="s">
        <v>12</v>
      </c>
      <c r="AH17" s="46" t="s">
        <v>12</v>
      </c>
      <c r="AI17" s="46" t="s">
        <v>329</v>
      </c>
      <c r="AJ17" s="51" t="b">
        <v>1</v>
      </c>
    </row>
    <row r="18" spans="2:36" x14ac:dyDescent="0.4">
      <c r="B18" s="46" t="s">
        <v>49</v>
      </c>
      <c r="C18" s="46" t="s">
        <v>179</v>
      </c>
      <c r="D18" s="46" t="s">
        <v>68</v>
      </c>
      <c r="E18" s="46" t="s">
        <v>180</v>
      </c>
      <c r="F18" s="46" t="s">
        <v>69</v>
      </c>
      <c r="G18" s="46">
        <f t="shared" si="0"/>
        <v>14</v>
      </c>
      <c r="H18" s="46" t="s">
        <v>70</v>
      </c>
      <c r="I18" s="52" t="s">
        <v>237</v>
      </c>
      <c r="J18" s="46" t="s">
        <v>12</v>
      </c>
      <c r="K18" s="46" t="s">
        <v>168</v>
      </c>
      <c r="L18" s="46" t="s">
        <v>12</v>
      </c>
      <c r="M18" s="46"/>
      <c r="N18" s="46" t="s">
        <v>171</v>
      </c>
      <c r="O18" s="51" t="s">
        <v>324</v>
      </c>
      <c r="P18" s="51" t="s">
        <v>12</v>
      </c>
      <c r="Q18" s="49" t="s">
        <v>326</v>
      </c>
      <c r="R18" s="46"/>
      <c r="S18" s="46"/>
      <c r="T18" s="46"/>
      <c r="U18" s="46" t="s">
        <v>12</v>
      </c>
      <c r="V18" s="46" t="s">
        <v>12</v>
      </c>
      <c r="W18" s="46" t="s">
        <v>12</v>
      </c>
      <c r="X18" s="46" t="s">
        <v>12</v>
      </c>
      <c r="Y18" s="46" t="s">
        <v>12</v>
      </c>
      <c r="Z18" s="46" t="s">
        <v>12</v>
      </c>
      <c r="AA18" s="46" t="s">
        <v>12</v>
      </c>
      <c r="AB18" s="46" t="s">
        <v>12</v>
      </c>
      <c r="AC18" s="46" t="s">
        <v>12</v>
      </c>
      <c r="AD18" s="46" t="s">
        <v>12</v>
      </c>
      <c r="AE18" s="46" t="s">
        <v>12</v>
      </c>
      <c r="AF18" s="46" t="s">
        <v>12</v>
      </c>
      <c r="AG18" s="46" t="s">
        <v>12</v>
      </c>
      <c r="AH18" s="46" t="s">
        <v>12</v>
      </c>
      <c r="AI18" s="46" t="s">
        <v>329</v>
      </c>
      <c r="AJ18" s="51" t="b">
        <v>1</v>
      </c>
    </row>
    <row r="19" spans="2:36" x14ac:dyDescent="0.4">
      <c r="B19" s="46" t="s">
        <v>49</v>
      </c>
      <c r="C19" s="46" t="s">
        <v>179</v>
      </c>
      <c r="D19" s="46" t="s">
        <v>71</v>
      </c>
      <c r="E19" s="46" t="s">
        <v>181</v>
      </c>
      <c r="F19" s="46" t="s">
        <v>13</v>
      </c>
      <c r="G19" s="46">
        <f t="shared" si="0"/>
        <v>15</v>
      </c>
      <c r="H19" s="46" t="s">
        <v>17</v>
      </c>
      <c r="I19" s="52" t="s">
        <v>237</v>
      </c>
      <c r="J19" s="46" t="s">
        <v>163</v>
      </c>
      <c r="K19" s="46" t="s">
        <v>167</v>
      </c>
      <c r="L19" s="46" t="s">
        <v>163</v>
      </c>
      <c r="M19" s="46"/>
      <c r="N19" s="46" t="s">
        <v>171</v>
      </c>
      <c r="O19" s="51" t="s">
        <v>323</v>
      </c>
      <c r="P19" s="51" t="s">
        <v>12</v>
      </c>
      <c r="Q19" s="49" t="s">
        <v>326</v>
      </c>
      <c r="R19" s="46"/>
      <c r="S19" s="46"/>
      <c r="T19" s="46"/>
      <c r="U19" s="46" t="s">
        <v>163</v>
      </c>
      <c r="V19" s="46" t="s">
        <v>163</v>
      </c>
      <c r="W19" s="46" t="s">
        <v>12</v>
      </c>
      <c r="X19" s="46" t="s">
        <v>12</v>
      </c>
      <c r="Y19" s="46" t="s">
        <v>12</v>
      </c>
      <c r="Z19" s="46" t="s">
        <v>12</v>
      </c>
      <c r="AA19" s="46" t="s">
        <v>12</v>
      </c>
      <c r="AB19" s="46" t="s">
        <v>12</v>
      </c>
      <c r="AC19" s="46" t="s">
        <v>12</v>
      </c>
      <c r="AD19" s="46" t="s">
        <v>12</v>
      </c>
      <c r="AE19" s="46" t="s">
        <v>12</v>
      </c>
      <c r="AF19" s="46" t="s">
        <v>12</v>
      </c>
      <c r="AG19" s="46" t="s">
        <v>12</v>
      </c>
      <c r="AH19" s="46" t="s">
        <v>12</v>
      </c>
      <c r="AI19" s="46" t="s">
        <v>329</v>
      </c>
      <c r="AJ19" s="51" t="b">
        <v>1</v>
      </c>
    </row>
    <row r="20" spans="2:36" x14ac:dyDescent="0.4">
      <c r="B20" s="46" t="s">
        <v>49</v>
      </c>
      <c r="C20" s="46" t="s">
        <v>1</v>
      </c>
      <c r="D20" s="46" t="s">
        <v>182</v>
      </c>
      <c r="E20" s="46" t="s">
        <v>183</v>
      </c>
      <c r="F20" s="46" t="s">
        <v>184</v>
      </c>
      <c r="G20" s="46">
        <f t="shared" si="0"/>
        <v>16</v>
      </c>
      <c r="H20" s="46" t="s">
        <v>161</v>
      </c>
      <c r="I20" s="52" t="s">
        <v>237</v>
      </c>
      <c r="J20" s="46" t="s">
        <v>75</v>
      </c>
      <c r="K20" s="46" t="s">
        <v>164</v>
      </c>
      <c r="L20" s="46" t="s">
        <v>163</v>
      </c>
      <c r="M20" s="46"/>
      <c r="N20" s="46" t="s">
        <v>163</v>
      </c>
      <c r="O20" s="51" t="s">
        <v>163</v>
      </c>
      <c r="P20" s="51" t="s">
        <v>163</v>
      </c>
      <c r="Q20" s="46" t="s">
        <v>163</v>
      </c>
      <c r="R20" s="46"/>
      <c r="S20" s="46"/>
      <c r="T20" s="46"/>
      <c r="U20" s="46" t="s">
        <v>163</v>
      </c>
      <c r="V20" s="46" t="s">
        <v>163</v>
      </c>
      <c r="W20" s="46" t="s">
        <v>12</v>
      </c>
      <c r="X20" s="46" t="s">
        <v>12</v>
      </c>
      <c r="Y20" s="46" t="s">
        <v>12</v>
      </c>
      <c r="Z20" s="46" t="s">
        <v>12</v>
      </c>
      <c r="AA20" s="46" t="s">
        <v>12</v>
      </c>
      <c r="AB20" s="46" t="s">
        <v>12</v>
      </c>
      <c r="AC20" s="46" t="s">
        <v>12</v>
      </c>
      <c r="AD20" s="46" t="s">
        <v>12</v>
      </c>
      <c r="AE20" s="46" t="s">
        <v>12</v>
      </c>
      <c r="AF20" s="46" t="s">
        <v>12</v>
      </c>
      <c r="AG20" s="46" t="s">
        <v>12</v>
      </c>
      <c r="AH20" s="46" t="s">
        <v>12</v>
      </c>
      <c r="AI20" s="46" t="s">
        <v>163</v>
      </c>
      <c r="AJ20" s="51" t="s">
        <v>163</v>
      </c>
    </row>
    <row r="21" spans="2:36" s="22" customFormat="1" x14ac:dyDescent="0.4">
      <c r="B21" s="54" t="s">
        <v>49</v>
      </c>
      <c r="C21" s="54" t="s">
        <v>1</v>
      </c>
      <c r="D21" s="54" t="s">
        <v>77</v>
      </c>
      <c r="E21" s="54"/>
      <c r="F21" s="54" t="s">
        <v>14</v>
      </c>
      <c r="G21" s="54">
        <f t="shared" si="0"/>
        <v>17</v>
      </c>
      <c r="H21" s="54" t="s">
        <v>3</v>
      </c>
      <c r="I21" s="55" t="s">
        <v>237</v>
      </c>
      <c r="J21" s="54" t="s">
        <v>163</v>
      </c>
      <c r="K21" s="54" t="s">
        <v>169</v>
      </c>
      <c r="L21" s="54" t="s">
        <v>166</v>
      </c>
      <c r="M21" s="54"/>
      <c r="N21" s="54" t="s">
        <v>163</v>
      </c>
      <c r="O21" s="56" t="s">
        <v>163</v>
      </c>
      <c r="P21" s="56" t="s">
        <v>163</v>
      </c>
      <c r="Q21" s="54" t="s">
        <v>163</v>
      </c>
      <c r="R21" s="54"/>
      <c r="S21" s="54"/>
      <c r="T21" s="54"/>
      <c r="U21" s="54" t="s">
        <v>163</v>
      </c>
      <c r="V21" s="54" t="s">
        <v>163</v>
      </c>
      <c r="W21" s="54" t="s">
        <v>12</v>
      </c>
      <c r="X21" s="54" t="s">
        <v>12</v>
      </c>
      <c r="Y21" s="54" t="s">
        <v>12</v>
      </c>
      <c r="Z21" s="54" t="s">
        <v>12</v>
      </c>
      <c r="AA21" s="54" t="s">
        <v>12</v>
      </c>
      <c r="AB21" s="54" t="s">
        <v>12</v>
      </c>
      <c r="AC21" s="54" t="s">
        <v>12</v>
      </c>
      <c r="AD21" s="54" t="s">
        <v>12</v>
      </c>
      <c r="AE21" s="54" t="s">
        <v>12</v>
      </c>
      <c r="AF21" s="54" t="s">
        <v>12</v>
      </c>
      <c r="AG21" s="54"/>
      <c r="AH21" s="54"/>
      <c r="AI21" s="54" t="s">
        <v>163</v>
      </c>
      <c r="AJ21" s="56" t="s">
        <v>163</v>
      </c>
    </row>
    <row r="22" spans="2:36" x14ac:dyDescent="0.4">
      <c r="B22" s="46" t="s">
        <v>49</v>
      </c>
      <c r="C22" s="46" t="s">
        <v>1</v>
      </c>
      <c r="D22" s="46" t="s">
        <v>194</v>
      </c>
      <c r="E22" s="46" t="s">
        <v>193</v>
      </c>
      <c r="F22" s="46" t="s">
        <v>195</v>
      </c>
      <c r="G22" s="46">
        <f t="shared" si="0"/>
        <v>18</v>
      </c>
      <c r="H22" s="46" t="s">
        <v>196</v>
      </c>
      <c r="I22" s="52" t="s">
        <v>237</v>
      </c>
      <c r="J22" s="64" t="s">
        <v>163</v>
      </c>
      <c r="K22" s="64" t="s">
        <v>163</v>
      </c>
      <c r="L22" s="64" t="s">
        <v>163</v>
      </c>
      <c r="M22" s="64"/>
      <c r="N22" s="64" t="s">
        <v>162</v>
      </c>
      <c r="O22" s="65" t="s">
        <v>162</v>
      </c>
      <c r="P22" s="65" t="s">
        <v>162</v>
      </c>
      <c r="Q22" s="64" t="s">
        <v>162</v>
      </c>
      <c r="R22" s="64"/>
      <c r="S22" s="64"/>
      <c r="T22" s="64"/>
      <c r="U22" s="64" t="s">
        <v>162</v>
      </c>
      <c r="V22" s="64" t="s">
        <v>162</v>
      </c>
      <c r="W22" s="64" t="s">
        <v>162</v>
      </c>
      <c r="X22" s="64" t="s">
        <v>162</v>
      </c>
      <c r="Y22" s="64" t="s">
        <v>162</v>
      </c>
      <c r="Z22" s="64" t="s">
        <v>162</v>
      </c>
      <c r="AA22" s="64" t="s">
        <v>162</v>
      </c>
      <c r="AB22" s="64" t="s">
        <v>162</v>
      </c>
      <c r="AC22" s="64" t="s">
        <v>162</v>
      </c>
      <c r="AD22" s="64" t="s">
        <v>162</v>
      </c>
      <c r="AE22" s="64" t="s">
        <v>162</v>
      </c>
      <c r="AF22" s="64" t="s">
        <v>162</v>
      </c>
      <c r="AG22" s="64" t="s">
        <v>162</v>
      </c>
      <c r="AH22" s="64" t="s">
        <v>162</v>
      </c>
      <c r="AI22" s="64" t="s">
        <v>162</v>
      </c>
      <c r="AJ22" s="65" t="s">
        <v>162</v>
      </c>
    </row>
    <row r="23" spans="2:36" x14ac:dyDescent="0.4">
      <c r="B23" s="46"/>
      <c r="C23" s="46"/>
      <c r="D23" s="57" t="s">
        <v>197</v>
      </c>
      <c r="E23" s="57" t="s">
        <v>202</v>
      </c>
      <c r="F23" s="57" t="str">
        <f>D23&amp;"条件によるなれっじ一覧取得"</f>
        <v>カテゴリ大条件によるなれっじ一覧取得</v>
      </c>
      <c r="G23" s="57">
        <f t="shared" si="0"/>
        <v>19</v>
      </c>
      <c r="H23" s="46" t="s">
        <v>207</v>
      </c>
      <c r="I23" s="52" t="s">
        <v>237</v>
      </c>
      <c r="J23" s="46" t="s">
        <v>189</v>
      </c>
      <c r="K23" s="46" t="s">
        <v>164</v>
      </c>
      <c r="L23" s="46" t="s">
        <v>213</v>
      </c>
      <c r="M23" s="46"/>
      <c r="N23" s="46" t="s">
        <v>171</v>
      </c>
      <c r="O23" s="51" t="s">
        <v>162</v>
      </c>
      <c r="P23" s="51" t="s">
        <v>162</v>
      </c>
      <c r="Q23" s="46" t="s">
        <v>162</v>
      </c>
      <c r="R23" s="46"/>
      <c r="S23" s="46"/>
      <c r="T23" s="46"/>
      <c r="U23" s="46" t="s">
        <v>258</v>
      </c>
      <c r="V23" s="46" t="s">
        <v>261</v>
      </c>
      <c r="W23" s="46" t="s">
        <v>162</v>
      </c>
      <c r="X23" s="46" t="s">
        <v>162</v>
      </c>
      <c r="Y23" s="46" t="s">
        <v>162</v>
      </c>
      <c r="Z23" s="46" t="s">
        <v>162</v>
      </c>
      <c r="AA23" s="46" t="s">
        <v>162</v>
      </c>
      <c r="AB23" s="46" t="s">
        <v>162</v>
      </c>
      <c r="AC23" s="46" t="s">
        <v>162</v>
      </c>
      <c r="AD23" s="46" t="s">
        <v>162</v>
      </c>
      <c r="AE23" s="46" t="s">
        <v>162</v>
      </c>
      <c r="AF23" s="46" t="s">
        <v>162</v>
      </c>
      <c r="AG23" s="46" t="s">
        <v>162</v>
      </c>
      <c r="AH23" s="46" t="s">
        <v>162</v>
      </c>
      <c r="AI23" s="46" t="s">
        <v>256</v>
      </c>
      <c r="AJ23" s="51" t="b">
        <v>0</v>
      </c>
    </row>
    <row r="24" spans="2:36" x14ac:dyDescent="0.4">
      <c r="B24" s="46"/>
      <c r="C24" s="46"/>
      <c r="D24" s="57" t="s">
        <v>198</v>
      </c>
      <c r="E24" s="57" t="s">
        <v>203</v>
      </c>
      <c r="F24" s="57" t="str">
        <f t="shared" ref="F24:F28" si="1">D24&amp;"条件によるなれっじ一覧取得"</f>
        <v>カテゴリ中条件によるなれっじ一覧取得</v>
      </c>
      <c r="G24" s="57">
        <f t="shared" si="0"/>
        <v>20</v>
      </c>
      <c r="H24" s="46" t="s">
        <v>208</v>
      </c>
      <c r="I24" s="52" t="s">
        <v>237</v>
      </c>
      <c r="J24" s="46" t="s">
        <v>190</v>
      </c>
      <c r="K24" s="46" t="s">
        <v>164</v>
      </c>
      <c r="L24" s="46" t="s">
        <v>213</v>
      </c>
      <c r="M24" s="46"/>
      <c r="N24" s="46" t="s">
        <v>171</v>
      </c>
      <c r="O24" s="51" t="s">
        <v>162</v>
      </c>
      <c r="P24" s="51" t="s">
        <v>162</v>
      </c>
      <c r="Q24" s="46" t="s">
        <v>162</v>
      </c>
      <c r="R24" s="46"/>
      <c r="S24" s="46"/>
      <c r="T24" s="46"/>
      <c r="U24" s="46" t="s">
        <v>259</v>
      </c>
      <c r="V24" s="46" t="s">
        <v>261</v>
      </c>
      <c r="W24" s="46" t="s">
        <v>162</v>
      </c>
      <c r="X24" s="46" t="s">
        <v>162</v>
      </c>
      <c r="Y24" s="46" t="s">
        <v>162</v>
      </c>
      <c r="Z24" s="46" t="s">
        <v>162</v>
      </c>
      <c r="AA24" s="46" t="s">
        <v>162</v>
      </c>
      <c r="AB24" s="46" t="s">
        <v>162</v>
      </c>
      <c r="AC24" s="46" t="s">
        <v>162</v>
      </c>
      <c r="AD24" s="46" t="s">
        <v>162</v>
      </c>
      <c r="AE24" s="46" t="s">
        <v>162</v>
      </c>
      <c r="AF24" s="46" t="s">
        <v>162</v>
      </c>
      <c r="AG24" s="46" t="s">
        <v>162</v>
      </c>
      <c r="AH24" s="46" t="s">
        <v>162</v>
      </c>
      <c r="AI24" s="46" t="s">
        <v>230</v>
      </c>
      <c r="AJ24" s="51" t="b">
        <v>0</v>
      </c>
    </row>
    <row r="25" spans="2:36" x14ac:dyDescent="0.4">
      <c r="B25" s="46"/>
      <c r="C25" s="46"/>
      <c r="D25" s="57" t="s">
        <v>199</v>
      </c>
      <c r="E25" s="57" t="s">
        <v>204</v>
      </c>
      <c r="F25" s="57" t="str">
        <f t="shared" si="1"/>
        <v>カテゴリ小条件によるなれっじ一覧取得</v>
      </c>
      <c r="G25" s="57">
        <f t="shared" si="0"/>
        <v>21</v>
      </c>
      <c r="H25" s="46" t="s">
        <v>209</v>
      </c>
      <c r="I25" s="52" t="s">
        <v>237</v>
      </c>
      <c r="J25" s="46" t="s">
        <v>191</v>
      </c>
      <c r="K25" s="46" t="s">
        <v>164</v>
      </c>
      <c r="L25" s="46" t="s">
        <v>213</v>
      </c>
      <c r="M25" s="46"/>
      <c r="N25" s="46" t="s">
        <v>171</v>
      </c>
      <c r="O25" s="51" t="s">
        <v>162</v>
      </c>
      <c r="P25" s="51" t="s">
        <v>162</v>
      </c>
      <c r="Q25" s="46" t="s">
        <v>162</v>
      </c>
      <c r="R25" s="46"/>
      <c r="S25" s="46"/>
      <c r="T25" s="46"/>
      <c r="U25" s="46" t="s">
        <v>260</v>
      </c>
      <c r="V25" s="46" t="s">
        <v>261</v>
      </c>
      <c r="W25" s="46" t="s">
        <v>162</v>
      </c>
      <c r="X25" s="46" t="s">
        <v>162</v>
      </c>
      <c r="Y25" s="46" t="s">
        <v>162</v>
      </c>
      <c r="Z25" s="46" t="s">
        <v>162</v>
      </c>
      <c r="AA25" s="46" t="s">
        <v>162</v>
      </c>
      <c r="AB25" s="46" t="s">
        <v>162</v>
      </c>
      <c r="AC25" s="46" t="s">
        <v>162</v>
      </c>
      <c r="AD25" s="46" t="s">
        <v>162</v>
      </c>
      <c r="AE25" s="46" t="s">
        <v>162</v>
      </c>
      <c r="AF25" s="46" t="s">
        <v>162</v>
      </c>
      <c r="AG25" s="46" t="s">
        <v>162</v>
      </c>
      <c r="AH25" s="46" t="s">
        <v>162</v>
      </c>
      <c r="AI25" s="46" t="s">
        <v>231</v>
      </c>
      <c r="AJ25" s="51" t="b">
        <v>0</v>
      </c>
    </row>
    <row r="26" spans="2:36" x14ac:dyDescent="0.4">
      <c r="B26" s="46"/>
      <c r="C26" s="46"/>
      <c r="D26" s="57" t="s">
        <v>200</v>
      </c>
      <c r="E26" s="57" t="s">
        <v>205</v>
      </c>
      <c r="F26" s="57" t="str">
        <f t="shared" si="1"/>
        <v>投稿日時条件によるなれっじ一覧取得</v>
      </c>
      <c r="G26" s="57">
        <f t="shared" si="0"/>
        <v>22</v>
      </c>
      <c r="H26" s="46" t="s">
        <v>210</v>
      </c>
      <c r="I26" s="52" t="s">
        <v>237</v>
      </c>
      <c r="J26" s="46" t="s">
        <v>211</v>
      </c>
      <c r="K26" s="46" t="s">
        <v>164</v>
      </c>
      <c r="L26" s="46" t="s">
        <v>213</v>
      </c>
      <c r="M26" s="46"/>
      <c r="N26" s="46" t="s">
        <v>171</v>
      </c>
      <c r="O26" s="51" t="s">
        <v>162</v>
      </c>
      <c r="P26" s="51" t="s">
        <v>162</v>
      </c>
      <c r="Q26" s="46" t="s">
        <v>162</v>
      </c>
      <c r="R26" s="46"/>
      <c r="S26" s="46"/>
      <c r="T26" s="46"/>
      <c r="U26" s="46" t="s">
        <v>162</v>
      </c>
      <c r="V26" s="46" t="s">
        <v>162</v>
      </c>
      <c r="W26" s="46" t="s">
        <v>162</v>
      </c>
      <c r="X26" s="46" t="s">
        <v>162</v>
      </c>
      <c r="Y26" s="46" t="s">
        <v>162</v>
      </c>
      <c r="Z26" s="46" t="s">
        <v>162</v>
      </c>
      <c r="AA26" s="46" t="s">
        <v>162</v>
      </c>
      <c r="AB26" s="46" t="s">
        <v>162</v>
      </c>
      <c r="AC26" s="46" t="s">
        <v>162</v>
      </c>
      <c r="AD26" s="46" t="s">
        <v>162</v>
      </c>
      <c r="AE26" s="46" t="s">
        <v>162</v>
      </c>
      <c r="AF26" s="46" t="s">
        <v>162</v>
      </c>
      <c r="AG26" s="46" t="s">
        <v>261</v>
      </c>
      <c r="AH26" s="46" t="s">
        <v>162</v>
      </c>
      <c r="AI26" s="58" t="s">
        <v>264</v>
      </c>
      <c r="AJ26" s="51" t="b">
        <v>0</v>
      </c>
    </row>
    <row r="27" spans="2:36" x14ac:dyDescent="0.4">
      <c r="B27" s="46"/>
      <c r="C27" s="46"/>
      <c r="D27" s="57" t="s">
        <v>200</v>
      </c>
      <c r="E27" s="57" t="s">
        <v>205</v>
      </c>
      <c r="F27" s="57" t="str">
        <f t="shared" ref="F27" si="2">D27&amp;"条件によるなれっじ一覧取得"</f>
        <v>投稿日時条件によるなれっじ一覧取得</v>
      </c>
      <c r="G27" s="57">
        <f t="shared" si="0"/>
        <v>23</v>
      </c>
      <c r="H27" s="46" t="s">
        <v>272</v>
      </c>
      <c r="I27" s="52" t="s">
        <v>237</v>
      </c>
      <c r="J27" s="46" t="s">
        <v>274</v>
      </c>
      <c r="K27" s="46" t="s">
        <v>164</v>
      </c>
      <c r="L27" s="46" t="s">
        <v>213</v>
      </c>
      <c r="M27" s="46"/>
      <c r="N27" s="46" t="s">
        <v>171</v>
      </c>
      <c r="O27" s="51" t="s">
        <v>162</v>
      </c>
      <c r="P27" s="51" t="s">
        <v>162</v>
      </c>
      <c r="Q27" s="46" t="s">
        <v>162</v>
      </c>
      <c r="R27" s="46"/>
      <c r="S27" s="46"/>
      <c r="T27" s="46"/>
      <c r="U27" s="46" t="s">
        <v>162</v>
      </c>
      <c r="V27" s="46" t="s">
        <v>162</v>
      </c>
      <c r="W27" s="46" t="s">
        <v>162</v>
      </c>
      <c r="X27" s="46" t="s">
        <v>162</v>
      </c>
      <c r="Y27" s="46" t="s">
        <v>162</v>
      </c>
      <c r="Z27" s="46" t="s">
        <v>162</v>
      </c>
      <c r="AA27" s="46" t="s">
        <v>162</v>
      </c>
      <c r="AB27" s="46" t="s">
        <v>162</v>
      </c>
      <c r="AC27" s="46" t="s">
        <v>162</v>
      </c>
      <c r="AD27" s="46" t="s">
        <v>162</v>
      </c>
      <c r="AE27" s="46" t="s">
        <v>162</v>
      </c>
      <c r="AF27" s="46" t="s">
        <v>162</v>
      </c>
      <c r="AG27" s="46" t="s">
        <v>261</v>
      </c>
      <c r="AH27" s="46" t="s">
        <v>162</v>
      </c>
      <c r="AI27" s="58" t="s">
        <v>264</v>
      </c>
      <c r="AJ27" s="51" t="b">
        <v>0</v>
      </c>
    </row>
    <row r="28" spans="2:36" x14ac:dyDescent="0.4">
      <c r="B28" s="46"/>
      <c r="C28" s="46"/>
      <c r="D28" s="57" t="s">
        <v>201</v>
      </c>
      <c r="E28" s="57" t="s">
        <v>206</v>
      </c>
      <c r="F28" s="57" t="str">
        <f t="shared" si="1"/>
        <v>更新日時条件によるなれっじ一覧取得</v>
      </c>
      <c r="G28" s="57">
        <f t="shared" si="0"/>
        <v>24</v>
      </c>
      <c r="H28" s="46" t="s">
        <v>188</v>
      </c>
      <c r="I28" s="52" t="s">
        <v>237</v>
      </c>
      <c r="J28" s="46" t="s">
        <v>212</v>
      </c>
      <c r="K28" s="46" t="s">
        <v>164</v>
      </c>
      <c r="L28" s="46" t="s">
        <v>213</v>
      </c>
      <c r="M28" s="46"/>
      <c r="N28" s="46" t="s">
        <v>171</v>
      </c>
      <c r="O28" s="51" t="s">
        <v>162</v>
      </c>
      <c r="P28" s="51" t="s">
        <v>162</v>
      </c>
      <c r="Q28" s="46" t="s">
        <v>162</v>
      </c>
      <c r="R28" s="46"/>
      <c r="S28" s="46"/>
      <c r="T28" s="46"/>
      <c r="U28" s="46" t="s">
        <v>162</v>
      </c>
      <c r="V28" s="46" t="s">
        <v>162</v>
      </c>
      <c r="W28" s="46" t="s">
        <v>162</v>
      </c>
      <c r="X28" s="46" t="s">
        <v>162</v>
      </c>
      <c r="Y28" s="46" t="s">
        <v>162</v>
      </c>
      <c r="Z28" s="46" t="s">
        <v>162</v>
      </c>
      <c r="AA28" s="46" t="s">
        <v>162</v>
      </c>
      <c r="AB28" s="46" t="s">
        <v>162</v>
      </c>
      <c r="AC28" s="46" t="s">
        <v>162</v>
      </c>
      <c r="AD28" s="46" t="s">
        <v>162</v>
      </c>
      <c r="AE28" s="46" t="s">
        <v>162</v>
      </c>
      <c r="AF28" s="46" t="s">
        <v>162</v>
      </c>
      <c r="AG28" s="46" t="s">
        <v>162</v>
      </c>
      <c r="AH28" s="46" t="s">
        <v>268</v>
      </c>
      <c r="AI28" s="46" t="s">
        <v>265</v>
      </c>
      <c r="AJ28" s="51" t="b">
        <v>0</v>
      </c>
    </row>
    <row r="29" spans="2:36" x14ac:dyDescent="0.4">
      <c r="B29" s="46"/>
      <c r="C29" s="46"/>
      <c r="D29" s="57" t="s">
        <v>201</v>
      </c>
      <c r="E29" s="57" t="s">
        <v>206</v>
      </c>
      <c r="F29" s="57" t="str">
        <f t="shared" ref="F29" si="3">D29&amp;"条件によるなれっじ一覧取得"</f>
        <v>更新日時条件によるなれっじ一覧取得</v>
      </c>
      <c r="G29" s="57">
        <f t="shared" si="0"/>
        <v>25</v>
      </c>
      <c r="H29" s="46" t="s">
        <v>273</v>
      </c>
      <c r="I29" s="52" t="s">
        <v>237</v>
      </c>
      <c r="J29" s="46" t="s">
        <v>275</v>
      </c>
      <c r="K29" s="46" t="s">
        <v>164</v>
      </c>
      <c r="L29" s="46" t="s">
        <v>213</v>
      </c>
      <c r="M29" s="46"/>
      <c r="N29" s="46" t="s">
        <v>171</v>
      </c>
      <c r="O29" s="51" t="s">
        <v>162</v>
      </c>
      <c r="P29" s="51" t="s">
        <v>162</v>
      </c>
      <c r="Q29" s="46" t="s">
        <v>162</v>
      </c>
      <c r="R29" s="46"/>
      <c r="S29" s="46"/>
      <c r="T29" s="46"/>
      <c r="U29" s="46" t="s">
        <v>162</v>
      </c>
      <c r="V29" s="46" t="s">
        <v>162</v>
      </c>
      <c r="W29" s="46" t="s">
        <v>162</v>
      </c>
      <c r="X29" s="46" t="s">
        <v>162</v>
      </c>
      <c r="Y29" s="46" t="s">
        <v>162</v>
      </c>
      <c r="Z29" s="46" t="s">
        <v>162</v>
      </c>
      <c r="AA29" s="46" t="s">
        <v>162</v>
      </c>
      <c r="AB29" s="46" t="s">
        <v>162</v>
      </c>
      <c r="AC29" s="46" t="s">
        <v>162</v>
      </c>
      <c r="AD29" s="46" t="s">
        <v>162</v>
      </c>
      <c r="AE29" s="46" t="s">
        <v>162</v>
      </c>
      <c r="AF29" s="46" t="s">
        <v>162</v>
      </c>
      <c r="AG29" s="46" t="s">
        <v>162</v>
      </c>
      <c r="AH29" s="46" t="s">
        <v>268</v>
      </c>
      <c r="AI29" s="46" t="s">
        <v>265</v>
      </c>
      <c r="AJ29" s="51" t="b">
        <v>0</v>
      </c>
    </row>
    <row r="30" spans="2:36" s="22" customFormat="1" x14ac:dyDescent="0.4">
      <c r="B30" s="54" t="s">
        <v>49</v>
      </c>
      <c r="C30" s="54" t="s">
        <v>1</v>
      </c>
      <c r="D30" s="54" t="s">
        <v>85</v>
      </c>
      <c r="E30" s="54"/>
      <c r="F30" s="54" t="s">
        <v>18</v>
      </c>
      <c r="G30" s="54">
        <f t="shared" si="0"/>
        <v>26</v>
      </c>
      <c r="H30" s="54" t="s">
        <v>3</v>
      </c>
      <c r="I30" s="55" t="s">
        <v>237</v>
      </c>
      <c r="J30" s="54"/>
      <c r="K30" s="54" t="s">
        <v>151</v>
      </c>
      <c r="L30" s="54" t="s">
        <v>76</v>
      </c>
      <c r="M30" s="54"/>
      <c r="N30" s="54"/>
      <c r="O30" s="56" t="s">
        <v>76</v>
      </c>
      <c r="P30" s="56" t="s">
        <v>162</v>
      </c>
      <c r="Q30" s="54" t="s">
        <v>162</v>
      </c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6"/>
    </row>
    <row r="31" spans="2:36" s="22" customFormat="1" x14ac:dyDescent="0.4">
      <c r="B31" s="54" t="s">
        <v>49</v>
      </c>
      <c r="C31" s="54" t="s">
        <v>1</v>
      </c>
      <c r="D31" s="54" t="s">
        <v>86</v>
      </c>
      <c r="E31" s="54"/>
      <c r="F31" s="54" t="s">
        <v>18</v>
      </c>
      <c r="G31" s="54">
        <f t="shared" si="0"/>
        <v>27</v>
      </c>
      <c r="H31" s="54" t="s">
        <v>3</v>
      </c>
      <c r="I31" s="55" t="s">
        <v>237</v>
      </c>
      <c r="J31" s="54"/>
      <c r="K31" s="54" t="s">
        <v>152</v>
      </c>
      <c r="L31" s="54" t="s">
        <v>76</v>
      </c>
      <c r="M31" s="54"/>
      <c r="N31" s="54"/>
      <c r="O31" s="56" t="s">
        <v>76</v>
      </c>
      <c r="P31" s="56" t="s">
        <v>162</v>
      </c>
      <c r="Q31" s="54" t="s">
        <v>162</v>
      </c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6"/>
    </row>
    <row r="32" spans="2:36" x14ac:dyDescent="0.4">
      <c r="B32" s="46" t="s">
        <v>88</v>
      </c>
      <c r="C32" s="46" t="s">
        <v>1</v>
      </c>
      <c r="D32" s="59" t="s">
        <v>223</v>
      </c>
      <c r="E32" s="46" t="s">
        <v>227</v>
      </c>
      <c r="F32" s="46" t="s">
        <v>90</v>
      </c>
      <c r="G32" s="46">
        <f t="shared" si="0"/>
        <v>28</v>
      </c>
      <c r="H32" s="46" t="s">
        <v>196</v>
      </c>
      <c r="I32" s="52" t="s">
        <v>237</v>
      </c>
      <c r="J32" s="64" t="s">
        <v>12</v>
      </c>
      <c r="K32" s="64" t="s">
        <v>12</v>
      </c>
      <c r="L32" s="64" t="s">
        <v>12</v>
      </c>
      <c r="M32" s="64"/>
      <c r="N32" s="64" t="s">
        <v>162</v>
      </c>
      <c r="O32" s="65" t="s">
        <v>162</v>
      </c>
      <c r="P32" s="65" t="s">
        <v>162</v>
      </c>
      <c r="Q32" s="64" t="s">
        <v>162</v>
      </c>
      <c r="R32" s="64"/>
      <c r="S32" s="64"/>
      <c r="T32" s="64"/>
      <c r="U32" s="64" t="s">
        <v>162</v>
      </c>
      <c r="V32" s="64" t="s">
        <v>162</v>
      </c>
      <c r="W32" s="64" t="s">
        <v>162</v>
      </c>
      <c r="X32" s="64" t="s">
        <v>162</v>
      </c>
      <c r="Y32" s="64" t="s">
        <v>162</v>
      </c>
      <c r="Z32" s="64" t="s">
        <v>162</v>
      </c>
      <c r="AA32" s="64" t="s">
        <v>162</v>
      </c>
      <c r="AB32" s="64" t="s">
        <v>162</v>
      </c>
      <c r="AC32" s="64" t="s">
        <v>162</v>
      </c>
      <c r="AD32" s="64" t="s">
        <v>162</v>
      </c>
      <c r="AE32" s="64" t="s">
        <v>162</v>
      </c>
      <c r="AF32" s="64" t="s">
        <v>162</v>
      </c>
      <c r="AG32" s="64" t="s">
        <v>162</v>
      </c>
      <c r="AH32" s="64" t="s">
        <v>162</v>
      </c>
      <c r="AI32" s="64" t="s">
        <v>162</v>
      </c>
      <c r="AJ32" s="65" t="s">
        <v>162</v>
      </c>
    </row>
    <row r="33" spans="2:36" x14ac:dyDescent="0.4">
      <c r="B33" s="46"/>
      <c r="C33" s="46"/>
      <c r="D33" s="60" t="s">
        <v>228</v>
      </c>
      <c r="E33" s="57" t="s">
        <v>229</v>
      </c>
      <c r="F33" s="57" t="str">
        <f t="shared" ref="F33" si="4">D33&amp;"条件によるなれっじ一覧取得"</f>
        <v>(例)直近1週間以内更新条件によるなれっじ一覧取得</v>
      </c>
      <c r="G33" s="57">
        <f t="shared" si="0"/>
        <v>29</v>
      </c>
      <c r="H33" s="46" t="s">
        <v>188</v>
      </c>
      <c r="I33" s="52" t="s">
        <v>237</v>
      </c>
      <c r="J33" s="46" t="s">
        <v>212</v>
      </c>
      <c r="K33" s="46" t="s">
        <v>164</v>
      </c>
      <c r="L33" s="46" t="s">
        <v>213</v>
      </c>
      <c r="M33" s="46"/>
      <c r="N33" s="46" t="s">
        <v>162</v>
      </c>
      <c r="O33" s="51" t="s">
        <v>162</v>
      </c>
      <c r="P33" s="51" t="s">
        <v>162</v>
      </c>
      <c r="Q33" s="46" t="s">
        <v>162</v>
      </c>
      <c r="R33" s="46"/>
      <c r="S33" s="46"/>
      <c r="T33" s="46"/>
      <c r="U33" s="46" t="s">
        <v>162</v>
      </c>
      <c r="V33" s="46" t="s">
        <v>162</v>
      </c>
      <c r="W33" s="46" t="s">
        <v>162</v>
      </c>
      <c r="X33" s="46" t="s">
        <v>162</v>
      </c>
      <c r="Y33" s="46" t="s">
        <v>162</v>
      </c>
      <c r="Z33" s="46" t="s">
        <v>162</v>
      </c>
      <c r="AA33" s="46" t="s">
        <v>162</v>
      </c>
      <c r="AB33" s="46" t="s">
        <v>162</v>
      </c>
      <c r="AC33" s="46" t="s">
        <v>162</v>
      </c>
      <c r="AD33" s="46" t="s">
        <v>162</v>
      </c>
      <c r="AE33" s="46" t="s">
        <v>162</v>
      </c>
      <c r="AF33" s="46" t="s">
        <v>162</v>
      </c>
      <c r="AG33" s="46" t="s">
        <v>162</v>
      </c>
      <c r="AH33" s="46" t="s">
        <v>162</v>
      </c>
      <c r="AI33" s="46" t="s">
        <v>162</v>
      </c>
      <c r="AJ33" s="46" t="s">
        <v>162</v>
      </c>
    </row>
    <row r="34" spans="2:36" x14ac:dyDescent="0.4">
      <c r="B34" s="46" t="s">
        <v>88</v>
      </c>
      <c r="C34" s="46" t="s">
        <v>179</v>
      </c>
      <c r="D34" s="59" t="s">
        <v>224</v>
      </c>
      <c r="E34" s="46" t="s">
        <v>225</v>
      </c>
      <c r="F34" s="46" t="s">
        <v>226</v>
      </c>
      <c r="G34" s="46">
        <f t="shared" si="0"/>
        <v>30</v>
      </c>
      <c r="H34" s="46" t="s">
        <v>91</v>
      </c>
      <c r="I34" s="52" t="s">
        <v>237</v>
      </c>
      <c r="J34" s="46" t="s">
        <v>163</v>
      </c>
      <c r="K34" s="46" t="s">
        <v>221</v>
      </c>
      <c r="L34" s="46" t="s">
        <v>222</v>
      </c>
      <c r="M34" s="46"/>
      <c r="N34" s="46"/>
      <c r="O34" s="51"/>
      <c r="P34" s="51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51"/>
    </row>
    <row r="35" spans="2:36" x14ac:dyDescent="0.4">
      <c r="B35" s="46" t="s">
        <v>88</v>
      </c>
      <c r="C35" s="46" t="s">
        <v>96</v>
      </c>
      <c r="D35" s="58" t="s">
        <v>97</v>
      </c>
      <c r="E35" s="59" t="s">
        <v>126</v>
      </c>
      <c r="F35" s="59" t="s">
        <v>126</v>
      </c>
      <c r="G35" s="59">
        <f t="shared" si="0"/>
        <v>31</v>
      </c>
      <c r="H35" s="46" t="s">
        <v>232</v>
      </c>
      <c r="I35" s="52" t="s">
        <v>237</v>
      </c>
      <c r="J35" s="46" t="s">
        <v>235</v>
      </c>
      <c r="K35" s="46" t="s">
        <v>236</v>
      </c>
      <c r="L35" s="46" t="s">
        <v>163</v>
      </c>
      <c r="M35" s="46"/>
      <c r="N35" s="46"/>
      <c r="O35" s="51"/>
      <c r="P35" s="51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51"/>
    </row>
    <row r="36" spans="2:36" x14ac:dyDescent="0.4">
      <c r="B36" s="46" t="s">
        <v>88</v>
      </c>
      <c r="C36" s="46" t="s">
        <v>96</v>
      </c>
      <c r="D36" s="58" t="s">
        <v>98</v>
      </c>
      <c r="E36" s="59" t="s">
        <v>124</v>
      </c>
      <c r="F36" s="59" t="s">
        <v>124</v>
      </c>
      <c r="G36" s="59">
        <f t="shared" si="0"/>
        <v>32</v>
      </c>
      <c r="H36" s="46" t="s">
        <v>233</v>
      </c>
      <c r="I36" s="52" t="s">
        <v>237</v>
      </c>
      <c r="J36" s="46" t="s">
        <v>235</v>
      </c>
      <c r="K36" s="46" t="s">
        <v>236</v>
      </c>
      <c r="L36" s="46" t="s">
        <v>163</v>
      </c>
      <c r="M36" s="46"/>
      <c r="N36" s="46"/>
      <c r="O36" s="51"/>
      <c r="P36" s="51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51"/>
    </row>
    <row r="37" spans="2:36" x14ac:dyDescent="0.4">
      <c r="B37" s="46" t="s">
        <v>88</v>
      </c>
      <c r="C37" s="46" t="s">
        <v>96</v>
      </c>
      <c r="D37" s="58" t="s">
        <v>122</v>
      </c>
      <c r="E37" s="59" t="s">
        <v>125</v>
      </c>
      <c r="F37" s="59" t="s">
        <v>125</v>
      </c>
      <c r="G37" s="59">
        <f t="shared" si="0"/>
        <v>33</v>
      </c>
      <c r="H37" s="46" t="s">
        <v>234</v>
      </c>
      <c r="I37" s="52" t="s">
        <v>237</v>
      </c>
      <c r="J37" s="59" t="s">
        <v>214</v>
      </c>
      <c r="K37" s="46" t="s">
        <v>236</v>
      </c>
      <c r="L37" s="46" t="s">
        <v>163</v>
      </c>
      <c r="M37" s="46"/>
      <c r="N37" s="46"/>
      <c r="O37" s="51"/>
      <c r="P37" s="51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51"/>
    </row>
    <row r="38" spans="2:36" ht="37.5" x14ac:dyDescent="0.4">
      <c r="B38" s="46" t="s">
        <v>88</v>
      </c>
      <c r="C38" s="46" t="s">
        <v>103</v>
      </c>
      <c r="D38" s="58" t="s">
        <v>105</v>
      </c>
      <c r="E38" s="46" t="s">
        <v>289</v>
      </c>
      <c r="F38" s="59" t="s">
        <v>287</v>
      </c>
      <c r="G38" s="59">
        <f t="shared" si="0"/>
        <v>34</v>
      </c>
      <c r="H38" s="46" t="s">
        <v>297</v>
      </c>
      <c r="I38" s="52" t="s">
        <v>237</v>
      </c>
      <c r="J38" s="46" t="s">
        <v>12</v>
      </c>
      <c r="K38" s="46" t="s">
        <v>298</v>
      </c>
      <c r="L38" s="46" t="s">
        <v>296</v>
      </c>
      <c r="M38" s="46"/>
      <c r="N38" s="46" t="s">
        <v>171</v>
      </c>
      <c r="O38" s="51" t="s">
        <v>331</v>
      </c>
      <c r="P38" s="46" t="s">
        <v>12</v>
      </c>
      <c r="Q38" s="46" t="s">
        <v>12</v>
      </c>
      <c r="R38" s="46" t="s">
        <v>12</v>
      </c>
      <c r="S38" s="46" t="s">
        <v>12</v>
      </c>
      <c r="T38" s="66" t="s">
        <v>315</v>
      </c>
      <c r="U38" s="46" t="s">
        <v>12</v>
      </c>
      <c r="V38" s="46" t="s">
        <v>12</v>
      </c>
      <c r="W38" s="46" t="s">
        <v>12</v>
      </c>
      <c r="X38" s="46" t="s">
        <v>12</v>
      </c>
      <c r="Y38" s="46" t="s">
        <v>12</v>
      </c>
      <c r="Z38" s="46" t="s">
        <v>12</v>
      </c>
      <c r="AA38" s="46" t="s">
        <v>12</v>
      </c>
      <c r="AB38" s="46" t="s">
        <v>12</v>
      </c>
      <c r="AC38" s="46" t="s">
        <v>12</v>
      </c>
      <c r="AD38" s="46" t="s">
        <v>12</v>
      </c>
      <c r="AE38" s="46" t="s">
        <v>12</v>
      </c>
      <c r="AF38" s="46" t="s">
        <v>12</v>
      </c>
      <c r="AG38" s="46" t="s">
        <v>12</v>
      </c>
      <c r="AH38" s="46" t="s">
        <v>12</v>
      </c>
      <c r="AI38" s="46" t="s">
        <v>300</v>
      </c>
      <c r="AJ38" s="51" t="b">
        <v>0</v>
      </c>
    </row>
    <row r="39" spans="2:36" ht="56.25" x14ac:dyDescent="0.4">
      <c r="B39" s="46" t="s">
        <v>88</v>
      </c>
      <c r="C39" s="46" t="s">
        <v>103</v>
      </c>
      <c r="D39" s="58" t="s">
        <v>104</v>
      </c>
      <c r="E39" s="46" t="s">
        <v>290</v>
      </c>
      <c r="F39" s="66" t="s">
        <v>306</v>
      </c>
      <c r="G39" s="59">
        <f t="shared" si="0"/>
        <v>35</v>
      </c>
      <c r="H39" s="46" t="s">
        <v>188</v>
      </c>
      <c r="I39" s="52" t="s">
        <v>237</v>
      </c>
      <c r="J39" s="66" t="s">
        <v>307</v>
      </c>
      <c r="K39" s="46" t="s">
        <v>164</v>
      </c>
      <c r="L39" s="46" t="s">
        <v>213</v>
      </c>
      <c r="M39" s="46"/>
      <c r="N39" s="46" t="s">
        <v>171</v>
      </c>
      <c r="O39" s="49" t="s">
        <v>321</v>
      </c>
      <c r="P39" s="46" t="s">
        <v>12</v>
      </c>
      <c r="Q39" s="46" t="s">
        <v>12</v>
      </c>
      <c r="R39" s="46" t="s">
        <v>12</v>
      </c>
      <c r="S39" s="46" t="s">
        <v>12</v>
      </c>
      <c r="T39" s="66" t="s">
        <v>315</v>
      </c>
      <c r="U39" s="46" t="s">
        <v>12</v>
      </c>
      <c r="V39" s="46" t="s">
        <v>12</v>
      </c>
      <c r="W39" s="46" t="s">
        <v>12</v>
      </c>
      <c r="X39" s="46" t="s">
        <v>12</v>
      </c>
      <c r="Y39" s="46" t="s">
        <v>12</v>
      </c>
      <c r="Z39" s="46" t="s">
        <v>12</v>
      </c>
      <c r="AA39" s="46" t="s">
        <v>12</v>
      </c>
      <c r="AB39" s="46" t="s">
        <v>12</v>
      </c>
      <c r="AC39" s="46" t="s">
        <v>12</v>
      </c>
      <c r="AD39" s="46" t="s">
        <v>12</v>
      </c>
      <c r="AE39" s="46" t="s">
        <v>12</v>
      </c>
      <c r="AF39" s="46" t="s">
        <v>12</v>
      </c>
      <c r="AG39" s="66" t="s">
        <v>309</v>
      </c>
      <c r="AH39" s="66" t="s">
        <v>308</v>
      </c>
      <c r="AI39" s="66" t="s">
        <v>339</v>
      </c>
      <c r="AJ39" s="51" t="b">
        <v>0</v>
      </c>
    </row>
    <row r="40" spans="2:36" ht="37.5" x14ac:dyDescent="0.4">
      <c r="B40" s="46" t="s">
        <v>88</v>
      </c>
      <c r="C40" s="46" t="s">
        <v>103</v>
      </c>
      <c r="D40" s="59" t="s">
        <v>288</v>
      </c>
      <c r="E40" s="46" t="s">
        <v>291</v>
      </c>
      <c r="F40" s="46" t="s">
        <v>292</v>
      </c>
      <c r="G40" s="46">
        <f t="shared" si="0"/>
        <v>36</v>
      </c>
      <c r="H40" s="66" t="s">
        <v>293</v>
      </c>
      <c r="I40" s="52" t="s">
        <v>237</v>
      </c>
      <c r="J40" s="67" t="s">
        <v>294</v>
      </c>
      <c r="K40" s="46" t="s">
        <v>295</v>
      </c>
      <c r="L40" s="46" t="s">
        <v>213</v>
      </c>
      <c r="M40" s="46"/>
      <c r="N40" s="46" t="s">
        <v>171</v>
      </c>
      <c r="O40" s="49" t="s">
        <v>321</v>
      </c>
      <c r="P40" s="46" t="s">
        <v>12</v>
      </c>
      <c r="Q40" s="46" t="s">
        <v>12</v>
      </c>
      <c r="R40" s="46" t="s">
        <v>12</v>
      </c>
      <c r="S40" s="46" t="s">
        <v>12</v>
      </c>
      <c r="T40" s="46" t="s">
        <v>12</v>
      </c>
      <c r="U40" s="46" t="s">
        <v>12</v>
      </c>
      <c r="V40" s="46" t="s">
        <v>12</v>
      </c>
      <c r="W40" s="46" t="s">
        <v>12</v>
      </c>
      <c r="X40" s="46" t="s">
        <v>12</v>
      </c>
      <c r="Y40" s="46" t="s">
        <v>12</v>
      </c>
      <c r="Z40" s="46" t="s">
        <v>12</v>
      </c>
      <c r="AA40" s="46" t="s">
        <v>12</v>
      </c>
      <c r="AB40" s="46" t="s">
        <v>12</v>
      </c>
      <c r="AC40" s="66" t="s">
        <v>316</v>
      </c>
      <c r="AD40" s="46" t="s">
        <v>12</v>
      </c>
      <c r="AE40" s="66" t="s">
        <v>317</v>
      </c>
      <c r="AF40" s="46" t="s">
        <v>12</v>
      </c>
      <c r="AG40" s="46" t="s">
        <v>12</v>
      </c>
      <c r="AH40" s="46" t="s">
        <v>12</v>
      </c>
      <c r="AI40" s="66" t="s">
        <v>318</v>
      </c>
      <c r="AJ40" s="51" t="b">
        <v>0</v>
      </c>
    </row>
    <row r="41" spans="2:36" ht="37.5" x14ac:dyDescent="0.4">
      <c r="B41" s="46" t="s">
        <v>88</v>
      </c>
      <c r="C41" s="46" t="s">
        <v>103</v>
      </c>
      <c r="D41" s="58" t="s">
        <v>108</v>
      </c>
      <c r="E41" s="46" t="s">
        <v>319</v>
      </c>
      <c r="F41" s="46" t="s">
        <v>109</v>
      </c>
      <c r="G41" s="46">
        <f t="shared" si="0"/>
        <v>37</v>
      </c>
      <c r="H41" s="46" t="s">
        <v>320</v>
      </c>
      <c r="I41" s="52" t="s">
        <v>237</v>
      </c>
      <c r="J41" s="46"/>
      <c r="K41" s="46" t="s">
        <v>43</v>
      </c>
      <c r="L41" s="46"/>
      <c r="M41" s="46"/>
      <c r="N41" s="46" t="s">
        <v>171</v>
      </c>
      <c r="O41" s="51" t="s">
        <v>330</v>
      </c>
      <c r="P41" s="46" t="s">
        <v>12</v>
      </c>
      <c r="Q41" s="46" t="s">
        <v>12</v>
      </c>
      <c r="R41" s="46" t="s">
        <v>12</v>
      </c>
      <c r="S41" s="66" t="s">
        <v>332</v>
      </c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51" t="b">
        <v>0</v>
      </c>
    </row>
    <row r="42" spans="2:36" ht="56.25" x14ac:dyDescent="0.4">
      <c r="B42" s="46" t="s">
        <v>88</v>
      </c>
      <c r="C42" s="46" t="s">
        <v>103</v>
      </c>
      <c r="D42" s="58" t="s">
        <v>104</v>
      </c>
      <c r="E42" s="46" t="s">
        <v>333</v>
      </c>
      <c r="F42" s="66" t="s">
        <v>334</v>
      </c>
      <c r="G42" s="59">
        <f t="shared" si="0"/>
        <v>38</v>
      </c>
      <c r="H42" s="59"/>
      <c r="I42" s="52" t="s">
        <v>237</v>
      </c>
      <c r="J42" s="59"/>
      <c r="K42" s="59"/>
      <c r="L42" s="46"/>
      <c r="M42" s="46"/>
      <c r="N42" s="46" t="s">
        <v>171</v>
      </c>
      <c r="O42" s="51" t="s">
        <v>330</v>
      </c>
      <c r="P42" s="51"/>
      <c r="Q42" s="46"/>
      <c r="R42" s="46"/>
      <c r="S42" s="66" t="s">
        <v>332</v>
      </c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66" t="s">
        <v>309</v>
      </c>
      <c r="AH42" s="66" t="s">
        <v>308</v>
      </c>
      <c r="AI42" s="66" t="s">
        <v>340</v>
      </c>
      <c r="AJ42" s="51" t="b">
        <v>0</v>
      </c>
    </row>
    <row r="43" spans="2:36" x14ac:dyDescent="0.4">
      <c r="B43" s="46" t="s">
        <v>88</v>
      </c>
      <c r="C43" s="46" t="s">
        <v>103</v>
      </c>
      <c r="D43" s="59" t="s">
        <v>335</v>
      </c>
      <c r="E43" s="46" t="s">
        <v>336</v>
      </c>
      <c r="F43" s="46" t="s">
        <v>337</v>
      </c>
      <c r="G43" s="46">
        <f t="shared" si="0"/>
        <v>39</v>
      </c>
      <c r="H43" s="46" t="s">
        <v>4</v>
      </c>
      <c r="I43" s="52" t="s">
        <v>237</v>
      </c>
      <c r="J43" s="59"/>
      <c r="K43" s="59"/>
      <c r="L43" s="46"/>
      <c r="M43" s="46"/>
      <c r="N43" s="46" t="s">
        <v>171</v>
      </c>
      <c r="O43" s="49" t="s">
        <v>321</v>
      </c>
      <c r="P43" s="51" t="s">
        <v>338</v>
      </c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 t="s">
        <v>219</v>
      </c>
      <c r="AJ43" s="51" t="b">
        <v>0</v>
      </c>
    </row>
    <row r="44" spans="2:36" x14ac:dyDescent="0.4">
      <c r="B44" s="46" t="s">
        <v>88</v>
      </c>
      <c r="C44" s="46" t="s">
        <v>103</v>
      </c>
      <c r="D44" s="58" t="s">
        <v>111</v>
      </c>
      <c r="E44" s="46"/>
      <c r="F44" s="46" t="s">
        <v>112</v>
      </c>
      <c r="G44" s="46">
        <f t="shared" si="0"/>
        <v>40</v>
      </c>
      <c r="H44" s="46" t="s">
        <v>113</v>
      </c>
      <c r="I44" s="52" t="s">
        <v>237</v>
      </c>
      <c r="J44" s="46"/>
      <c r="K44" s="46"/>
      <c r="L44" s="46"/>
      <c r="M44" s="46"/>
      <c r="N44" s="46"/>
      <c r="O44" s="51"/>
      <c r="P44" s="51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51"/>
    </row>
    <row r="45" spans="2:36" x14ac:dyDescent="0.4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51"/>
      <c r="P45" s="51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51"/>
    </row>
    <row r="46" spans="2:36" x14ac:dyDescent="0.4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51"/>
      <c r="P46" s="51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51"/>
    </row>
    <row r="47" spans="2:36" x14ac:dyDescent="0.4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51"/>
      <c r="P47" s="51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51"/>
    </row>
    <row r="48" spans="2:36" x14ac:dyDescent="0.4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51"/>
      <c r="P48" s="51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51"/>
    </row>
    <row r="49" spans="2:36" x14ac:dyDescent="0.4"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51"/>
      <c r="P49" s="51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51"/>
    </row>
    <row r="50" spans="2:36" x14ac:dyDescent="0.4"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51"/>
      <c r="P50" s="51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51"/>
    </row>
    <row r="51" spans="2:36" x14ac:dyDescent="0.4"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51"/>
      <c r="P51" s="51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51"/>
    </row>
    <row r="52" spans="2:36" x14ac:dyDescent="0.4"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51"/>
      <c r="P52" s="51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51"/>
    </row>
    <row r="53" spans="2:36" x14ac:dyDescent="0.4"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51"/>
      <c r="P53" s="51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51"/>
    </row>
    <row r="54" spans="2:36" x14ac:dyDescent="0.4"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51"/>
      <c r="P54" s="51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51"/>
    </row>
    <row r="55" spans="2:36" x14ac:dyDescent="0.4"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51"/>
      <c r="P55" s="51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51"/>
    </row>
    <row r="56" spans="2:36" x14ac:dyDescent="0.4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51"/>
      <c r="P56" s="51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51"/>
    </row>
    <row r="57" spans="2:36" x14ac:dyDescent="0.4"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51"/>
      <c r="P57" s="51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51"/>
    </row>
    <row r="58" spans="2:36" x14ac:dyDescent="0.4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51"/>
      <c r="P58" s="51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51"/>
    </row>
    <row r="59" spans="2:36" x14ac:dyDescent="0.4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51"/>
      <c r="P59" s="51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51"/>
    </row>
    <row r="60" spans="2:36" x14ac:dyDescent="0.4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2"/>
      <c r="N60" s="61"/>
      <c r="O60" s="63"/>
      <c r="P60" s="63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3"/>
    </row>
  </sheetData>
  <mergeCells count="14">
    <mergeCell ref="W3:X3"/>
    <mergeCell ref="W2:X2"/>
    <mergeCell ref="AA2:AB2"/>
    <mergeCell ref="AE2:AF2"/>
    <mergeCell ref="AE3:AF3"/>
    <mergeCell ref="AC2:AD2"/>
    <mergeCell ref="AC3:AD3"/>
    <mergeCell ref="Y2:Z2"/>
    <mergeCell ref="Y3:Z3"/>
    <mergeCell ref="AA3:AB3"/>
    <mergeCell ref="F2:H2"/>
    <mergeCell ref="U2:V2"/>
    <mergeCell ref="O2:P3"/>
    <mergeCell ref="U3:V3"/>
  </mergeCells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GraphQL-API_DB設計</vt:lpstr>
      <vt:lpstr>アクセスパターンリスト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transcosmos staff</dc:creator>
  <cp:lastModifiedBy>山路 祐一郎</cp:lastModifiedBy>
  <dcterms:created xsi:type="dcterms:W3CDTF">2023-11-04T03:25:29Z</dcterms:created>
  <dcterms:modified xsi:type="dcterms:W3CDTF">2023-12-01T07:19:41Z</dcterms:modified>
</cp:coreProperties>
</file>