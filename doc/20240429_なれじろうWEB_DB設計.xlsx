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a2182258\Documents\00_project\20231025_なれじろうWEB版\doc\"/>
    </mc:Choice>
  </mc:AlternateContent>
  <bookViews>
    <workbookView xWindow="0" yWindow="0" windowWidth="28800" windowHeight="10755" firstSheet="2" activeTab="3"/>
  </bookViews>
  <sheets>
    <sheet name="ER図" sheetId="3" r:id="rId1"/>
    <sheet name="RDB_テーブル定義一覧" sheetId="2" r:id="rId2"/>
    <sheet name="DynamoDB_テーブル定義一覧_MultiTable" sheetId="8" r:id="rId3"/>
    <sheet name="DynamoDB_テーブル定義一覧_SingleTable" sheetId="9" r:id="rId4"/>
    <sheet name="Sheet2" sheetId="10" r:id="rId5"/>
    <sheet name="dynamodb.api" sheetId="4" r:id="rId6"/>
    <sheet name="query.options" sheetId="5" r:id="rId7"/>
    <sheet name="Sheet5" sheetId="13" r:id="rId8"/>
    <sheet name="設定画面" sheetId="6" r:id="rId9"/>
    <sheet name="GraphQL-API_DB設計" sheetId="7" r:id="rId10"/>
    <sheet name="bkup_20231129_1552" sheetId="11" r:id="rId11"/>
    <sheet name="bkup_20231130_1804" sheetId="12" r:id="rId1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4" i="12" l="1"/>
  <c r="C30" i="12"/>
  <c r="C26" i="12"/>
  <c r="C25" i="12"/>
  <c r="C22" i="12"/>
  <c r="C20" i="12"/>
  <c r="C18" i="12"/>
  <c r="C17" i="12"/>
  <c r="C14" i="12"/>
  <c r="C12" i="12"/>
  <c r="C10" i="12"/>
  <c r="C9" i="12"/>
  <c r="C34" i="11" l="1"/>
  <c r="C30" i="11"/>
  <c r="C26" i="11"/>
  <c r="C25" i="11"/>
  <c r="C23" i="11"/>
  <c r="C22" i="11"/>
  <c r="C21" i="11"/>
  <c r="C20" i="11"/>
  <c r="C19" i="11"/>
  <c r="C18" i="11"/>
  <c r="C17" i="11"/>
  <c r="C15" i="11"/>
  <c r="C14" i="11"/>
  <c r="C13" i="11"/>
  <c r="C12" i="11"/>
  <c r="C11" i="11"/>
  <c r="C10" i="11"/>
  <c r="C9" i="11"/>
  <c r="P9" i="7" l="1"/>
  <c r="P8" i="7"/>
  <c r="P7" i="7"/>
</calcChain>
</file>

<file path=xl/sharedStrings.xml><?xml version="1.0" encoding="utf-8"?>
<sst xmlns="http://schemas.openxmlformats.org/spreadsheetml/2006/main" count="2737" uniqueCount="580">
  <si>
    <t>ロード時</t>
    <rPh sb="3" eb="4">
      <t>ジ</t>
    </rPh>
    <phoneticPr fontId="1"/>
  </si>
  <si>
    <t>なれっじ一覧画面</t>
    <rPh sb="4" eb="6">
      <t>イチラン</t>
    </rPh>
    <rPh sb="6" eb="8">
      <t>ガメン</t>
    </rPh>
    <phoneticPr fontId="1"/>
  </si>
  <si>
    <t>knowlegdes</t>
    <phoneticPr fontId="1"/>
  </si>
  <si>
    <t>PK</t>
    <phoneticPr fontId="1"/>
  </si>
  <si>
    <t>title</t>
    <phoneticPr fontId="1"/>
  </si>
  <si>
    <t>contents</t>
    <phoneticPr fontId="1"/>
  </si>
  <si>
    <t>ref_mtrl_path</t>
    <phoneticPr fontId="1"/>
  </si>
  <si>
    <t>ref_mtrl_name</t>
    <phoneticPr fontId="1"/>
  </si>
  <si>
    <t>ref_red_url</t>
    <phoneticPr fontId="1"/>
  </si>
  <si>
    <t>ref_link_url</t>
    <phoneticPr fontId="1"/>
  </si>
  <si>
    <t>ref_attch_url</t>
    <phoneticPr fontId="1"/>
  </si>
  <si>
    <t>note</t>
    <phoneticPr fontId="1"/>
  </si>
  <si>
    <t>created_at</t>
    <phoneticPr fontId="1"/>
  </si>
  <si>
    <t>created_by</t>
    <phoneticPr fontId="1"/>
  </si>
  <si>
    <t>updated_at</t>
    <phoneticPr fontId="1"/>
  </si>
  <si>
    <t>updated_by</t>
    <phoneticPr fontId="1"/>
  </si>
  <si>
    <t>categories</t>
    <phoneticPr fontId="1"/>
  </si>
  <si>
    <t>category_id</t>
    <phoneticPr fontId="1"/>
  </si>
  <si>
    <t>id</t>
    <phoneticPr fontId="1"/>
  </si>
  <si>
    <t>cat_type</t>
    <phoneticPr fontId="1"/>
  </si>
  <si>
    <t>cat_name</t>
    <phoneticPr fontId="1"/>
  </si>
  <si>
    <t>user_id</t>
    <phoneticPr fontId="1"/>
  </si>
  <si>
    <t>FK</t>
    <phoneticPr fontId="1"/>
  </si>
  <si>
    <t>users</t>
    <phoneticPr fontId="1"/>
  </si>
  <si>
    <t>name</t>
    <phoneticPr fontId="1"/>
  </si>
  <si>
    <t>password</t>
    <phoneticPr fontId="1"/>
  </si>
  <si>
    <t>email</t>
    <phoneticPr fontId="1"/>
  </si>
  <si>
    <t>Knowledges</t>
    <phoneticPr fontId="1"/>
  </si>
  <si>
    <t>getKnowledges</t>
    <phoneticPr fontId="1"/>
  </si>
  <si>
    <t>getKnowledgeById</t>
    <phoneticPr fontId="1"/>
  </si>
  <si>
    <t>Phase1</t>
    <phoneticPr fontId="1"/>
  </si>
  <si>
    <t>integer</t>
    <phoneticPr fontId="1"/>
  </si>
  <si>
    <t>string</t>
    <phoneticPr fontId="1"/>
  </si>
  <si>
    <t>timestamp</t>
    <phoneticPr fontId="1"/>
  </si>
  <si>
    <t>category_types</t>
    <phoneticPr fontId="1"/>
  </si>
  <si>
    <t>cat_type_name</t>
    <phoneticPr fontId="1"/>
  </si>
  <si>
    <t>なれっじ</t>
    <phoneticPr fontId="1"/>
  </si>
  <si>
    <t>カラム名</t>
    <rPh sb="3" eb="4">
      <t>メイ</t>
    </rPh>
    <phoneticPr fontId="1"/>
  </si>
  <si>
    <t>データ型</t>
    <rPh sb="3" eb="4">
      <t>カタ</t>
    </rPh>
    <phoneticPr fontId="1"/>
  </si>
  <si>
    <t>PK/FK</t>
    <phoneticPr fontId="1"/>
  </si>
  <si>
    <t>なれっじID</t>
    <phoneticPr fontId="1"/>
  </si>
  <si>
    <t>タイトル</t>
    <phoneticPr fontId="1"/>
  </si>
  <si>
    <t>内容</t>
    <rPh sb="0" eb="2">
      <t>ナイヨウ</t>
    </rPh>
    <phoneticPr fontId="1"/>
  </si>
  <si>
    <t>カテゴリー大</t>
    <rPh sb="5" eb="6">
      <t>ダイ</t>
    </rPh>
    <phoneticPr fontId="1"/>
  </si>
  <si>
    <t>カテゴリー中</t>
    <rPh sb="5" eb="6">
      <t>チュウ</t>
    </rPh>
    <phoneticPr fontId="1"/>
  </si>
  <si>
    <t>カテゴリー小</t>
    <rPh sb="5" eb="6">
      <t>ショウ</t>
    </rPh>
    <phoneticPr fontId="1"/>
  </si>
  <si>
    <t>参照資料パス</t>
    <rPh sb="0" eb="2">
      <t>サンショウ</t>
    </rPh>
    <rPh sb="2" eb="4">
      <t>シリョウ</t>
    </rPh>
    <phoneticPr fontId="1"/>
  </si>
  <si>
    <t>参照資料名</t>
    <rPh sb="0" eb="2">
      <t>サンショウ</t>
    </rPh>
    <rPh sb="2" eb="4">
      <t>シリョウ</t>
    </rPh>
    <rPh sb="4" eb="5">
      <t>メイ</t>
    </rPh>
    <phoneticPr fontId="1"/>
  </si>
  <si>
    <t>参照redmineURL</t>
    <rPh sb="0" eb="2">
      <t>サンショウ</t>
    </rPh>
    <phoneticPr fontId="1"/>
  </si>
  <si>
    <t>参照リンクURL</t>
    <rPh sb="0" eb="2">
      <t>サンショウ</t>
    </rPh>
    <phoneticPr fontId="1"/>
  </si>
  <si>
    <t>参照添付URL</t>
    <rPh sb="0" eb="2">
      <t>サンショウ</t>
    </rPh>
    <rPh sb="2" eb="4">
      <t>テンプ</t>
    </rPh>
    <phoneticPr fontId="1"/>
  </si>
  <si>
    <t>備考</t>
    <rPh sb="0" eb="2">
      <t>ビコウ</t>
    </rPh>
    <phoneticPr fontId="1"/>
  </si>
  <si>
    <t>作成日</t>
    <rPh sb="0" eb="3">
      <t>サクセイビ</t>
    </rPh>
    <phoneticPr fontId="1"/>
  </si>
  <si>
    <t>作成者</t>
    <rPh sb="0" eb="3">
      <t>サクセイシャ</t>
    </rPh>
    <phoneticPr fontId="1"/>
  </si>
  <si>
    <t>更新日</t>
    <rPh sb="0" eb="3">
      <t>コウシンビ</t>
    </rPh>
    <phoneticPr fontId="1"/>
  </si>
  <si>
    <t>更新者</t>
    <rPh sb="0" eb="3">
      <t>コウシンシャ</t>
    </rPh>
    <phoneticPr fontId="1"/>
  </si>
  <si>
    <t>カテゴリID</t>
    <phoneticPr fontId="1"/>
  </si>
  <si>
    <t>カテゴリ</t>
    <phoneticPr fontId="1"/>
  </si>
  <si>
    <t>カテゴリ種別</t>
    <rPh sb="4" eb="6">
      <t>シュベツ</t>
    </rPh>
    <phoneticPr fontId="1"/>
  </si>
  <si>
    <t>カテゴリ名</t>
    <rPh sb="4" eb="5">
      <t>メイ</t>
    </rPh>
    <phoneticPr fontId="1"/>
  </si>
  <si>
    <t>カテゴリ種別ID</t>
    <rPh sb="4" eb="6">
      <t>シュベツ</t>
    </rPh>
    <phoneticPr fontId="1"/>
  </si>
  <si>
    <t>カテゴリ種別名</t>
    <rPh sb="4" eb="7">
      <t>シュベツメイ</t>
    </rPh>
    <phoneticPr fontId="1"/>
  </si>
  <si>
    <t>ユーザ名</t>
    <rPh sb="3" eb="4">
      <t>メイ</t>
    </rPh>
    <phoneticPr fontId="1"/>
  </si>
  <si>
    <t>ユーザ</t>
    <phoneticPr fontId="1"/>
  </si>
  <si>
    <t>ユーザID</t>
    <phoneticPr fontId="1"/>
  </si>
  <si>
    <t>パスワード</t>
    <phoneticPr fontId="1"/>
  </si>
  <si>
    <t>Eメール</t>
    <phoneticPr fontId="1"/>
  </si>
  <si>
    <t>格納値</t>
    <rPh sb="0" eb="2">
      <t>カクノウ</t>
    </rPh>
    <rPh sb="2" eb="3">
      <t>アタイ</t>
    </rPh>
    <phoneticPr fontId="1"/>
  </si>
  <si>
    <t>対象redmineチケットのURL</t>
    <rPh sb="0" eb="2">
      <t>タイショウ</t>
    </rPh>
    <phoneticPr fontId="1"/>
  </si>
  <si>
    <t>対象資料のファイルサーバーパス</t>
    <rPh sb="0" eb="2">
      <t>タイショウ</t>
    </rPh>
    <rPh sb="2" eb="4">
      <t>シリョウ</t>
    </rPh>
    <phoneticPr fontId="1"/>
  </si>
  <si>
    <t>対象資料の資料名</t>
    <rPh sb="0" eb="4">
      <t>タイショウシリョウ</t>
    </rPh>
    <rPh sb="5" eb="8">
      <t>シリョウメイ</t>
    </rPh>
    <phoneticPr fontId="1"/>
  </si>
  <si>
    <t>対象リンクのURL</t>
    <rPh sb="0" eb="2">
      <t>タイショウ</t>
    </rPh>
    <phoneticPr fontId="1"/>
  </si>
  <si>
    <t>対象添付ファイル格納先S3のURL</t>
    <rPh sb="0" eb="2">
      <t>タイショウ</t>
    </rPh>
    <rPh sb="2" eb="4">
      <t>テンプ</t>
    </rPh>
    <rPh sb="8" eb="11">
      <t>カクノウサキ</t>
    </rPh>
    <phoneticPr fontId="1"/>
  </si>
  <si>
    <t>更新日の日時: yyyy-mm-dd hh:mm:ss</t>
    <rPh sb="0" eb="3">
      <t>コウシンビ</t>
    </rPh>
    <rPh sb="4" eb="6">
      <t>ニチジ</t>
    </rPh>
    <phoneticPr fontId="1"/>
  </si>
  <si>
    <t>投稿日の日時: yyyy-mm-dd hh:mm:ss</t>
    <rPh sb="0" eb="2">
      <t>トウコウ</t>
    </rPh>
    <rPh sb="2" eb="3">
      <t>ビ</t>
    </rPh>
    <rPh sb="4" eb="6">
      <t>ニチジ</t>
    </rPh>
    <phoneticPr fontId="1"/>
  </si>
  <si>
    <t>一意の数値</t>
    <rPh sb="0" eb="2">
      <t>イチイ</t>
    </rPh>
    <rPh sb="3" eb="5">
      <t>スウチ</t>
    </rPh>
    <phoneticPr fontId="1"/>
  </si>
  <si>
    <t>category_type_id：1=大, 2=中, 3=小</t>
    <rPh sb="19" eb="20">
      <t>ダイ</t>
    </rPh>
    <rPh sb="24" eb="25">
      <t>チュウ</t>
    </rPh>
    <rPh sb="29" eb="30">
      <t>ショウ</t>
    </rPh>
    <phoneticPr fontId="1"/>
  </si>
  <si>
    <t>大、中、小</t>
    <rPh sb="0" eb="1">
      <t>ダイ</t>
    </rPh>
    <rPh sb="2" eb="3">
      <t>チュウ</t>
    </rPh>
    <rPh sb="4" eb="5">
      <t>ショウ</t>
    </rPh>
    <phoneticPr fontId="1"/>
  </si>
  <si>
    <t>Eメールアドレス</t>
    <phoneticPr fontId="1"/>
  </si>
  <si>
    <t>ユーザパスワード</t>
    <phoneticPr fontId="1"/>
  </si>
  <si>
    <t>テーブル論理名</t>
    <rPh sb="4" eb="7">
      <t>ロンリメイ</t>
    </rPh>
    <phoneticPr fontId="1"/>
  </si>
  <si>
    <t>カラム論理名</t>
    <rPh sb="3" eb="6">
      <t>ロンリメイ</t>
    </rPh>
    <phoneticPr fontId="1"/>
  </si>
  <si>
    <t>テーブル名</t>
    <rPh sb="4" eb="5">
      <t>メイ</t>
    </rPh>
    <phoneticPr fontId="1"/>
  </si>
  <si>
    <t>テーブル定義</t>
    <rPh sb="4" eb="6">
      <t>テイギ</t>
    </rPh>
    <phoneticPr fontId="1"/>
  </si>
  <si>
    <t>ER図</t>
    <rPh sb="2" eb="3">
      <t>ズ</t>
    </rPh>
    <phoneticPr fontId="1"/>
  </si>
  <si>
    <t>アクセスパターン</t>
    <phoneticPr fontId="1"/>
  </si>
  <si>
    <t>個別なれっじリンク押下</t>
    <rPh sb="0" eb="2">
      <t>コベツ</t>
    </rPh>
    <rPh sb="9" eb="11">
      <t>オウカ</t>
    </rPh>
    <phoneticPr fontId="1"/>
  </si>
  <si>
    <t>なれっじ詳細モーダル表示</t>
    <rPh sb="4" eb="6">
      <t>ショウサイ</t>
    </rPh>
    <rPh sb="10" eb="12">
      <t>ヒョウジ</t>
    </rPh>
    <phoneticPr fontId="1"/>
  </si>
  <si>
    <t>PK</t>
    <phoneticPr fontId="1"/>
  </si>
  <si>
    <t>SK</t>
    <phoneticPr fontId="1"/>
  </si>
  <si>
    <t>knowledge_id</t>
    <phoneticPr fontId="1"/>
  </si>
  <si>
    <t>-</t>
    <phoneticPr fontId="1"/>
  </si>
  <si>
    <t>カテゴリ一覧取得</t>
    <rPh sb="4" eb="6">
      <t>イチラン</t>
    </rPh>
    <rPh sb="6" eb="8">
      <t>シュトク</t>
    </rPh>
    <phoneticPr fontId="1"/>
  </si>
  <si>
    <t>なれっじ一覧取得</t>
    <rPh sb="4" eb="6">
      <t>イチラン</t>
    </rPh>
    <rPh sb="6" eb="8">
      <t>シュトク</t>
    </rPh>
    <phoneticPr fontId="1"/>
  </si>
  <si>
    <t>Categories</t>
    <phoneticPr fontId="1"/>
  </si>
  <si>
    <t>Entity</t>
    <phoneticPr fontId="1"/>
  </si>
  <si>
    <t>getCategories</t>
    <phoneticPr fontId="1"/>
  </si>
  <si>
    <t>なれっじ一覧取得 w/条件</t>
    <rPh sb="4" eb="6">
      <t>イチラン</t>
    </rPh>
    <rPh sb="6" eb="8">
      <t>シュトク</t>
    </rPh>
    <rPh sb="11" eb="13">
      <t>ジョウケン</t>
    </rPh>
    <phoneticPr fontId="1"/>
  </si>
  <si>
    <t>cat_1</t>
    <phoneticPr fontId="1"/>
  </si>
  <si>
    <t>cat_2</t>
  </si>
  <si>
    <t>cat_3</t>
  </si>
  <si>
    <t>カテゴリ大選択</t>
    <rPh sb="4" eb="5">
      <t>ダイ</t>
    </rPh>
    <rPh sb="5" eb="7">
      <t>センタク</t>
    </rPh>
    <phoneticPr fontId="1"/>
  </si>
  <si>
    <t>GSI</t>
    <phoneticPr fontId="1"/>
  </si>
  <si>
    <t>cat_1</t>
    <phoneticPr fontId="1"/>
  </si>
  <si>
    <t>カテゴリ中選択</t>
    <rPh sb="4" eb="5">
      <t>チュウ</t>
    </rPh>
    <rPh sb="5" eb="7">
      <t>センタク</t>
    </rPh>
    <phoneticPr fontId="1"/>
  </si>
  <si>
    <t>カテゴリ小選択</t>
    <rPh sb="4" eb="5">
      <t>ショウ</t>
    </rPh>
    <rPh sb="5" eb="7">
      <t>センタク</t>
    </rPh>
    <phoneticPr fontId="1"/>
  </si>
  <si>
    <t>cat_2</t>
    <phoneticPr fontId="1"/>
  </si>
  <si>
    <t>cat_3</t>
    <phoneticPr fontId="1"/>
  </si>
  <si>
    <t>revised_at</t>
    <phoneticPr fontId="1"/>
  </si>
  <si>
    <t>1. TableName: Specifies the name of the table to query.</t>
  </si>
  <si>
    <t>2. IndexName: Specifies the name of the secondary index to query (optional).</t>
  </si>
  <si>
    <t>3. KeyConditionExpression: Specifies the condition that the key attributes must meet for the query to return the item(s).</t>
  </si>
  <si>
    <t>6. ExpressionAttributeNames: Specifies the placeholder names used in the KeyConditionExpression, FilterExpression, and ProjectionExpression.</t>
  </si>
  <si>
    <t>7. ExpressionAttributeValues: Specifies the values used in the KeyConditionExpression, FilterExpression, and ProjectionExpression.</t>
  </si>
  <si>
    <t>8. Limit: Specifies the maximum number of items to be returned in the query result.</t>
  </si>
  <si>
    <t>9. ExclusiveStartKey: Specifies the primary key of the last evaluated item (used for pagination).</t>
  </si>
  <si>
    <t>10. ScanIndexForward: Specifies the order of the query results (ascending or descending).</t>
  </si>
  <si>
    <t>11. ConsistentRead: Specifies whether the query should use consistent read or eventually consistent read.</t>
  </si>
  <si>
    <t>12. Select: Specifies the attributes to be returned in the query result (ALL_ATTRIBUTES, ALL_PROJECTED_ATTRIBUTES, SPECIFIC_ATTRIBUTES, or COUNT).</t>
  </si>
  <si>
    <t>13. ReturnConsumedCapacity: Specifies the level of detail about the request's consumed capacity to be returned.</t>
  </si>
  <si>
    <t>14. ReturnItemCollectionMetrics: Specifies whether to return the item collection metrics.</t>
  </si>
  <si>
    <t>15. ProjectionType: Specifies the type of projection for a secondary index (KEYS_ONLY, INCLUDE, or ALL).</t>
  </si>
  <si>
    <t>query() options</t>
    <phoneticPr fontId="1"/>
  </si>
  <si>
    <t>1. CreateTable: Creates a new table with the specified schema.</t>
  </si>
  <si>
    <t>2. DeleteTable: Deletes an existing table and all its data.</t>
  </si>
  <si>
    <t>3. DescribeTable: Returns information about the specified table, such as its name, status, and provisioned throughput.</t>
  </si>
  <si>
    <t>4. UpdateTable: Modifies the provisioned throughput settings or the global secondary indexes of an existing table.</t>
  </si>
  <si>
    <t>5. ListTables: Returns a list of all tables in the current AWS account.</t>
  </si>
  <si>
    <t>6. PutItem: Creates a new item or replaces an existing item in a table.</t>
  </si>
  <si>
    <t>7. BatchWriteItem: Writes multiple items to one or more tables in a single request.</t>
  </si>
  <si>
    <t>8. GetItem: Retrieves the attributes of an item from a table.</t>
  </si>
  <si>
    <t>9. BatchGetItem: Retrieves multiple items from one or more tables in a single request.</t>
  </si>
  <si>
    <t>10. Query: Retrieves one or more items from a table based on a query condition.</t>
  </si>
  <si>
    <t>11. Scan: Retrieves all items from a table or a secondary index.</t>
  </si>
  <si>
    <t>12. UpdateItem: Modifies the attributes of an existing item in a table.</t>
  </si>
  <si>
    <t>13. DeleteItem: Deletes a single item from a table.</t>
  </si>
  <si>
    <t>14. TransactWriteItems: Performs multiple write operations as a single atomic transaction.</t>
  </si>
  <si>
    <t>15. TransactGetItems: Performs multiple read operations as a single atomic transaction.</t>
  </si>
  <si>
    <t>1. Items: The list of items that match the query criteria. Each item is represented as a collection of attribute-value pairs.</t>
  </si>
  <si>
    <t>2. Count: The number of items that match the query criteria, before applying any filtering.</t>
  </si>
  <si>
    <t>3. ScannedCount: The number of items that were evaluated, before applying any filtering. This includes the items that matched the query criteria as well as those that did not.</t>
  </si>
  <si>
    <t>4. LastEvaluatedKey: The primary key of the last evaluated item, which can be used for pagination in subsequent query requests.</t>
  </si>
  <si>
    <t>5. ConsumedCapacity: Information about the capacity units consumed by the query operation, including the number of read capacity units and the number of write capacity units.</t>
  </si>
  <si>
    <t>6. ItemCollectionMetrics: Information about the item collections that were modified during the query operation, such as the size of the item collections and the number of items in them.</t>
  </si>
  <si>
    <t>query response</t>
    <phoneticPr fontId="1"/>
  </si>
  <si>
    <t>city という名前のテーブルを作成</t>
  </si>
  <si>
    <t>aws dynamodb create-table --table-name 'cities' \</t>
  </si>
  <si>
    <t>--attribute-definitions '[{"AttributeName":"key","AttributeType": "S"}]' \</t>
  </si>
  <si>
    <t>--key-schema '[{"AttributeName":"key","KeyType": "HASH"}]' \</t>
  </si>
  <si>
    <t>--provisioned-throughput '{"ReadCapacityUnits": 5,"WriteCapacityUnits": 5}'</t>
  </si>
  <si>
    <t>データの挿入</t>
  </si>
  <si>
    <t>TABLE='cities'</t>
  </si>
  <si>
    <t>aws dynamodb put-item --table-name $TABLE --item '{ "population": { "N": "38164" }, "date_mod": { "S": "1950-6-22" }, "key": { "S": "t0924" }, "name": { "S": "足利" } }'</t>
  </si>
  <si>
    <t>aws dynamodb put-item --table-name $TABLE --item '{ "population": { "N": "72391" }, "date_mod": { "S": "1950-8-30" }, "key": { "S": "t0925" }, "name": { "S": "日光" } }'</t>
  </si>
  <si>
    <t>aws dynamodb put-item --table-name $TABLE --item '{ "population": { "N": "56148" }, "date_mod": { "S": "1950-9-7" }, "key": { "S": "t0926" }, "name": { "S": "下野" } }'</t>
  </si>
  <si>
    <t>データのスキャン</t>
  </si>
  <si>
    <t>aws dynamodb scan --table-name cities</t>
  </si>
  <si>
    <t>キーを指定してデータの取得</t>
  </si>
  <si>
    <t>キーを指定してデータの削除</t>
  </si>
  <si>
    <t>aws dynamodb delete-item --table-name cities  --key '{"key": {"S": "t0924"}}'</t>
  </si>
  <si>
    <t>テーブルの削除</t>
  </si>
  <si>
    <t>aws dynamodb delete-table --table-name cities</t>
  </si>
  <si>
    <t>レコード数のカウント</t>
  </si>
  <si>
    <t>aws dynamodb scan --table-name cities --select "COUNT"</t>
  </si>
  <si>
    <t>テーブル名の取得</t>
  </si>
  <si>
    <t>aws dynamodb list-tables</t>
  </si>
  <si>
    <t>テーブルに関する情報の取得</t>
  </si>
  <si>
    <t>aws dynamodb describe-table --table-name cities</t>
  </si>
  <si>
    <t>バックアップの作成</t>
  </si>
  <si>
    <t>TABLE="cities"</t>
  </si>
  <si>
    <t>aws dynamodb create-backup --table-name $TABLE \</t>
  </si>
  <si>
    <t xml:space="preserve">        --backup-name $TABLE"-Backup"</t>
  </si>
  <si>
    <t>バックアップの一覧</t>
  </si>
  <si>
    <t>aws dynamodb list-backups</t>
  </si>
  <si>
    <t>別テーブルにリストア</t>
  </si>
  <si>
    <t>TARGET="cities2"</t>
  </si>
  <si>
    <t>aws dynamodb restore-table-from-backup \</t>
  </si>
  <si>
    <t xml:space="preserve">        --target-table-name $TARGET \</t>
  </si>
  <si>
    <t>--backup-arn arn:aws:dynamodb:ap-northeast-1:372407516321:table/cities/backup/01658017317622-d319e000</t>
  </si>
  <si>
    <t>バックアップの削除</t>
  </si>
  <si>
    <t>aws dynamodb delete-backup \</t>
  </si>
  <si>
    <t>ローカルに立てた DynamoDB を取り扱う時</t>
  </si>
  <si>
    <t>aws dynamodb list-tables --endpoint-url http://localhost:8000</t>
  </si>
  <si>
    <t>aws dynamodb scan --table-name cities --endpoint-url http://localhost:8000</t>
  </si>
  <si>
    <t>次のバージョンで確認しました。</t>
  </si>
  <si>
    <t>$ aws --version</t>
  </si>
  <si>
    <t>aws-cli/2.7.12 Python/3.9.11 Linux/5.15.0-25-generic exe/x86_64.ubuntu.22 prompt/off</t>
  </si>
  <si>
    <t>examples</t>
    <phoneticPr fontId="1"/>
  </si>
  <si>
    <t>(go_create.sh)</t>
    <phoneticPr fontId="1"/>
  </si>
  <si>
    <t>(go_insert.sh)</t>
    <phoneticPr fontId="1"/>
  </si>
  <si>
    <t>LSI</t>
    <phoneticPr fontId="1"/>
  </si>
  <si>
    <t>GSI</t>
    <phoneticPr fontId="1"/>
  </si>
  <si>
    <t>Parameters</t>
    <phoneticPr fontId="1"/>
  </si>
  <si>
    <t>{knowledge_id}</t>
    <phoneticPr fontId="1"/>
  </si>
  <si>
    <t>{cat_id}</t>
    <phoneticPr fontId="1"/>
  </si>
  <si>
    <t>APIクエリ条件定義</t>
    <rPh sb="6" eb="8">
      <t>ジョウケン</t>
    </rPh>
    <rPh sb="8" eb="10">
      <t>テイギ</t>
    </rPh>
    <phoneticPr fontId="1"/>
  </si>
  <si>
    <t>Primary Table</t>
    <phoneticPr fontId="1"/>
  </si>
  <si>
    <t>UseCase</t>
    <phoneticPr fontId="1"/>
  </si>
  <si>
    <t>Event</t>
    <phoneticPr fontId="1"/>
  </si>
  <si>
    <t>Page</t>
    <phoneticPr fontId="1"/>
  </si>
  <si>
    <t>Phase</t>
    <phoneticPr fontId="1"/>
  </si>
  <si>
    <t>query functions</t>
    <phoneticPr fontId="1"/>
  </si>
  <si>
    <t>1. BEGINS_WITH: Returns items where the attribute begins with a specified substring.</t>
  </si>
  <si>
    <t>2. BETWEEN: Returns items where the attribute value is between two specified values.</t>
  </si>
  <si>
    <t>3. CONTAINS: Returns items where the attribute contains a specified substring.</t>
  </si>
  <si>
    <t>4. IN: Returns items where the attribute value is equal to any value in a specified list.</t>
  </si>
  <si>
    <t>6. NOT_NULL: Returns items where the attribute value is not null.</t>
  </si>
  <si>
    <t>7. NULL: Returns items where the attribute value is null.</t>
  </si>
  <si>
    <t>8. EQ: Returns items where the attribute value is equal to a specified value.</t>
  </si>
  <si>
    <t>9. NE: Returns items where the attribute value is not equal to a specified value.</t>
  </si>
  <si>
    <t>10. LE: Returns items where the attribute value is less than or equal to a specified value.</t>
  </si>
  <si>
    <t>11. LT: Returns items where the attribute value is less than a specified value.</t>
  </si>
  <si>
    <t>12. GE: Returns items where the attribute value is greater than or equal to a specified value.</t>
  </si>
  <si>
    <t>13. GT: Returns items where the attribute value is greater than a specified value.</t>
  </si>
  <si>
    <t>14. ATTRIBUTE_EXISTS: Returns items where the attribute exists.</t>
  </si>
  <si>
    <t>15. ATTRIBUTE_NOT_EXISTS: Returns items where the attribute does not exist.</t>
  </si>
  <si>
    <t>16. SIZE: Returns items where the attribute size is equal to a specified value.</t>
  </si>
  <si>
    <t>These functions can be used in combination with logical operators (AND, OR, NOT) to build complex queries in DynamoDB.</t>
  </si>
  <si>
    <t>→※Sort Keyにしか使えない</t>
    <rPh sb="13" eb="14">
      <t>ツカ</t>
    </rPh>
    <phoneticPr fontId="1"/>
  </si>
  <si>
    <t>カテゴリ複数選択</t>
    <rPh sb="4" eb="6">
      <t>フクスウ</t>
    </rPh>
    <rPh sb="6" eb="8">
      <t>センタク</t>
    </rPh>
    <phoneticPr fontId="1"/>
  </si>
  <si>
    <t>Request</t>
    <phoneticPr fontId="1"/>
  </si>
  <si>
    <t>Response</t>
    <phoneticPr fontId="1"/>
  </si>
  <si>
    <t>Dynamodb API</t>
    <phoneticPr fontId="1"/>
  </si>
  <si>
    <t>Key Conditions</t>
    <phoneticPr fontId="1"/>
  </si>
  <si>
    <t>Query</t>
    <phoneticPr fontId="1"/>
  </si>
  <si>
    <t>You want to retrieve multiple items based on specific conditions.</t>
  </si>
  <si>
    <t>You want to retrieve items using the primary key or secondary indexes.</t>
  </si>
  <si>
    <t>You want to filter the results based on specific attribute values.</t>
  </si>
  <si>
    <t>・</t>
    <phoneticPr fontId="1"/>
  </si>
  <si>
    <t>You want to retrieve a specific item based on its primary key.</t>
  </si>
  <si>
    <t>You don't need to retrieve multiple items or apply any filtering.</t>
  </si>
  <si>
    <t>4. FilterExpression: Specifies a condition that filters the items returned by the query after the key condition has been met.</t>
    <phoneticPr fontId="1"/>
  </si>
  <si>
    <t>FilterExpression</t>
  </si>
  <si>
    <t>Order By</t>
    <phoneticPr fontId="1"/>
  </si>
  <si>
    <t>5. ProjectionExpression: Specifies the attributes to retrieve in the query result.</t>
    <phoneticPr fontId="1"/>
  </si>
  <si>
    <t>ProjectionExpression</t>
    <phoneticPr fontId="1"/>
  </si>
  <si>
    <t>TableName/IndexName</t>
    <phoneticPr fontId="1"/>
  </si>
  <si>
    <t>List(*)</t>
    <phoneticPr fontId="1"/>
  </si>
  <si>
    <t>getKnowledgesByCat1</t>
    <phoneticPr fontId="1"/>
  </si>
  <si>
    <t>getKnowledgesByCat2</t>
  </si>
  <si>
    <t>getKnowledgesByCat3</t>
  </si>
  <si>
    <t>getKnowledgesByMultipleCat</t>
    <phoneticPr fontId="1"/>
  </si>
  <si>
    <t>all above 3</t>
    <phoneticPr fontId="1"/>
  </si>
  <si>
    <t>GetItem</t>
    <phoneticPr fontId="1"/>
  </si>
  <si>
    <t>cat_1 = :cat_id</t>
    <phoneticPr fontId="1"/>
  </si>
  <si>
    <t>cat_2 = :cat_id</t>
  </si>
  <si>
    <t>cat_3 = :cat_id</t>
  </si>
  <si>
    <t>cat_1 = :cat_id and cat_2 = :cat_id</t>
    <phoneticPr fontId="1"/>
  </si>
  <si>
    <t>knowledge_id = :knowledge_id</t>
    <phoneticPr fontId="1"/>
  </si>
  <si>
    <t>Phase2</t>
  </si>
  <si>
    <t>operation</t>
    <phoneticPr fontId="1"/>
  </si>
  <si>
    <t>aws dynamodb get-item --table-name cities  --key '{ "key": {"S": "t0926" }  }'</t>
    <phoneticPr fontId="1"/>
  </si>
  <si>
    <t>(例)</t>
    <rPh sb="1" eb="2">
      <t>レイ</t>
    </rPh>
    <phoneticPr fontId="1"/>
  </si>
  <si>
    <t>aws dynamodb query --table-name --key-condition-expression --expression-attribute-values</t>
  </si>
  <si>
    <t xml:space="preserve">aws dynamodb query --table-name cities --key-condition-expression "country = :val" --expression-attribute-values '{":val": {"S": "USA"}}'  </t>
  </si>
  <si>
    <t xml:space="preserve">aws dynamodb query --table-name cities --key-condition-expression "country = :val" --expression-attribute-values '{":val": {"S": "USA"}}' --filter-expression "population &gt; :pop" --expression-attribute-values '{":pop": {"N": "1000000"}}'  </t>
    <phoneticPr fontId="1"/>
  </si>
  <si>
    <t>aws dynamodb query --table-name TestTable --key-condition-expression "field0 = :val" --expression-attribute-values '{":val": {"S":"1"}}'</t>
  </si>
  <si>
    <t xml:space="preserve">aws dynamodb query --table-name TestTable --key-condition-expression "field0 = :val" --expression-attribute-values '{":val": {"S":"1"}}' --filter-expressino "field1 = :val" </t>
    <phoneticPr fontId="1"/>
  </si>
  <si>
    <t>aws dynamodb put-item --table-name test2 --item '{ "id": { "N": "1" }, "cat_1": { "N": "1" }, "cat_2": { "N": "1" }, "cat_3": { "N": "1" }, "title": { "S": "test_title" }, "contents": { "S": "test_contents" }, "note": { "S": "test_note" }, "created_at": { "S": "2023-11-16 23:03:00" }, "created_by": { "S": "yamaji" }, "updated_at": { "S": "2023-11-16 23:03:00" }, "updated_by": { "S": "yamaji" } }'</t>
    <phoneticPr fontId="1"/>
  </si>
  <si>
    <t>aws dynamodb put-item --table-name test2 --item '{ "id": { "N": "2" }, "cat_1": { "N": "1" }, "cat_2": { "N": "1" }, "cat_3": { "N": "1" }, "title": { "S": "test_title" }, "contents": { "S": "test_contents" }, "note": { "S": "test_note" }, "created_at": { "S": "2023-11-16 23:03:00" }, "created_by": { "S": "yamaji" }, "updated_at": { "S": "2023-11-16 23:03:00" }, "updated_by": { "S": "yamaji" } }'</t>
    <phoneticPr fontId="1"/>
  </si>
  <si>
    <t>aws dynamodb put-item --table-name test2 --item '{ "id": { "N": "3" }, "cat_1": { "N": "1" }, "cat_2": { "N": "1" }, "cat_3": { "N": "1" }, "title": { "S": "test_title" }, "contents": { "S": "test_contents" }, "note": { "S": "test_note" }, "created_at": { "S": "2023-11-16 23:03:00" }, "created_by": { "S": "yamaji" }, "updated_at": { "S": "2023-11-16 23:03:00" }, "updated_by": { "S": "yamaji" } }'</t>
    <phoneticPr fontId="1"/>
  </si>
  <si>
    <t>aws dynamodb query --table-name test2 --key-condition-expression "id = :val" --expression-attribute-values '{":val": {"N":"1"}}' --filter-expression "cat_1 = :val" --expression-attribute-values '{":val": {"N":"1"}}'</t>
    <phoneticPr fontId="1"/>
  </si>
  <si>
    <t>An error occurred (ValidationException) when calling the Query operation: Filter Expression can only contain non-primary key attributes: Primary key attribute: cat_1</t>
  </si>
  <si>
    <t>⇒</t>
    <phoneticPr fontId="1"/>
  </si>
  <si>
    <t>aws dynamodb query --table-name test2 --key-condition-expression "id = :val" --expression-attribute-values '{":val": {"N":"1"}}' --filter-expression "cat_2 = :val" --expression-attribute-values '{":val": {"N":"1"}}'</t>
    <phoneticPr fontId="1"/>
  </si>
  <si>
    <t>Successd</t>
    <phoneticPr fontId="1"/>
  </si>
  <si>
    <t>aws dynamodb query --table-name test2 --filter-expression "cat_1 = :val" --expression-attribute-values '{":val": {"N":"1"}}'</t>
    <phoneticPr fontId="1"/>
  </si>
  <si>
    <t>An error occurred (ValidationException) when calling the Query operation: Either the KeyConditions or KeyConditionExpression parameter must be specified in the request.</t>
  </si>
  <si>
    <t>aws dynamodb query --table-name test2 --key-condition-expression "cat_1 = :val" --expression-attribute-values '{":val": {"N":"1"}}'</t>
    <phoneticPr fontId="1"/>
  </si>
  <si>
    <t>An error occurred (ValidationException) when calling the Query operation: Query condition missed key schema element: id</t>
  </si>
  <si>
    <t>aws dynamodb query --table-name test2 --key-condition-expression "id = :val" --expression-attribute-values '{":val": {"N":"1"}}' --filter-expression "title = :val" --expression-attribute-values '{":val": {"S":"test_title"}}'</t>
  </si>
  <si>
    <t>An error occurred (ValidationException) when calling the Query operation: One or more parameter values were invalid: Condition parameter type does not match schema type</t>
  </si>
  <si>
    <t>narejiro-dev-knowledge</t>
    <phoneticPr fontId="1"/>
  </si>
  <si>
    <t>index</t>
    <phoneticPr fontId="1"/>
  </si>
  <si>
    <t>PrimaryKey</t>
    <phoneticPr fontId="1"/>
  </si>
  <si>
    <t>閲覧回数</t>
    <rPh sb="0" eb="2">
      <t>エツラン</t>
    </rPh>
    <rPh sb="2" eb="4">
      <t>カイスウ</t>
    </rPh>
    <phoneticPr fontId="1"/>
  </si>
  <si>
    <t>view_num</t>
    <phoneticPr fontId="1"/>
  </si>
  <si>
    <t>narejiro-dev-category</t>
    <phoneticPr fontId="1"/>
  </si>
  <si>
    <t>narejiro-dev-user</t>
    <phoneticPr fontId="1"/>
  </si>
  <si>
    <t>投稿回数</t>
    <rPh sb="0" eb="2">
      <t>トウコウ</t>
    </rPh>
    <rPh sb="2" eb="4">
      <t>カイスウ</t>
    </rPh>
    <phoneticPr fontId="1"/>
  </si>
  <si>
    <t>更新回数</t>
    <rPh sb="0" eb="2">
      <t>コウシン</t>
    </rPh>
    <rPh sb="2" eb="4">
      <t>カイスウ</t>
    </rPh>
    <phoneticPr fontId="1"/>
  </si>
  <si>
    <t>post_num</t>
    <phoneticPr fontId="1"/>
  </si>
  <si>
    <t>revise_num</t>
    <phoneticPr fontId="1"/>
  </si>
  <si>
    <t>閲覧ごとにincrement</t>
    <rPh sb="0" eb="2">
      <t>エツラン</t>
    </rPh>
    <phoneticPr fontId="1"/>
  </si>
  <si>
    <t>投稿ごとにincrement</t>
    <rPh sb="0" eb="2">
      <t>トウコウ</t>
    </rPh>
    <phoneticPr fontId="1"/>
  </si>
  <si>
    <t>更新ごとにincrement</t>
    <rPh sb="0" eb="2">
      <t>コウシン</t>
    </rPh>
    <phoneticPr fontId="1"/>
  </si>
  <si>
    <t>格納値 exemple</t>
    <rPh sb="0" eb="2">
      <t>カクノウ</t>
    </rPh>
    <rPh sb="2" eb="3">
      <t>アタイ</t>
    </rPh>
    <phoneticPr fontId="1"/>
  </si>
  <si>
    <t>\\flsv01\com\***</t>
    <phoneticPr fontId="1"/>
  </si>
  <si>
    <t>参照資料_20231111.xlsx</t>
    <rPh sb="0" eb="2">
      <t>サンショウ</t>
    </rPh>
    <rPh sb="2" eb="4">
      <t>シリョウ</t>
    </rPh>
    <phoneticPr fontId="1"/>
  </si>
  <si>
    <t>https://redmine***</t>
    <phoneticPr fontId="1"/>
  </si>
  <si>
    <t>https://example.com</t>
    <phoneticPr fontId="1"/>
  </si>
  <si>
    <t>検索回数</t>
    <rPh sb="0" eb="2">
      <t>ケンサク</t>
    </rPh>
    <rPh sb="2" eb="4">
      <t>カイスウ</t>
    </rPh>
    <phoneticPr fontId="1"/>
  </si>
  <si>
    <t>search_num</t>
    <phoneticPr fontId="1"/>
  </si>
  <si>
    <t>ランキング</t>
    <phoneticPr fontId="1"/>
  </si>
  <si>
    <t>narejiro-dev-keyword</t>
    <phoneticPr fontId="1"/>
  </si>
  <si>
    <t>キーワードID</t>
    <phoneticPr fontId="1"/>
  </si>
  <si>
    <t>キーワード名</t>
    <rPh sb="5" eb="6">
      <t>メイ</t>
    </rPh>
    <phoneticPr fontId="1"/>
  </si>
  <si>
    <t>keyword</t>
    <phoneticPr fontId="1"/>
  </si>
  <si>
    <t>キーワード</t>
    <phoneticPr fontId="1"/>
  </si>
  <si>
    <t>最終検索日</t>
    <rPh sb="0" eb="2">
      <t>サイシュウ</t>
    </rPh>
    <rPh sb="2" eb="4">
      <t>ケンサク</t>
    </rPh>
    <rPh sb="4" eb="5">
      <t>ビ</t>
    </rPh>
    <phoneticPr fontId="1"/>
  </si>
  <si>
    <t>最終検索者</t>
    <rPh sb="0" eb="2">
      <t>サイシュウ</t>
    </rPh>
    <rPh sb="2" eb="5">
      <t>ケンサクシャ</t>
    </rPh>
    <phoneticPr fontId="1"/>
  </si>
  <si>
    <t>last_searched_at</t>
    <phoneticPr fontId="1"/>
  </si>
  <si>
    <t>last_searched_by</t>
    <phoneticPr fontId="1"/>
  </si>
  <si>
    <t>検索ごとにincrement</t>
    <rPh sb="0" eb="2">
      <t>ケンサク</t>
    </rPh>
    <phoneticPr fontId="1"/>
  </si>
  <si>
    <t>最終検索日の日時: yyyy-mm-dd hh:mm:ss</t>
    <rPh sb="0" eb="2">
      <t>サイシュウ</t>
    </rPh>
    <rPh sb="2" eb="4">
      <t>ケンサク</t>
    </rPh>
    <rPh sb="4" eb="5">
      <t>ビ</t>
    </rPh>
    <rPh sb="6" eb="8">
      <t>ニチジ</t>
    </rPh>
    <phoneticPr fontId="1"/>
  </si>
  <si>
    <t>合計回数</t>
    <rPh sb="0" eb="2">
      <t>ゴウケイ</t>
    </rPh>
    <rPh sb="2" eb="4">
      <t>カイスウ</t>
    </rPh>
    <phoneticPr fontId="1"/>
  </si>
  <si>
    <t>total_num</t>
    <phoneticPr fontId="1"/>
  </si>
  <si>
    <t>投稿/更新ごとにincrement</t>
    <rPh sb="0" eb="2">
      <t>トウコウ</t>
    </rPh>
    <rPh sb="3" eb="5">
      <t>コウシン</t>
    </rPh>
    <phoneticPr fontId="1"/>
  </si>
  <si>
    <t>sample@trans-cosmos.co.jp</t>
    <phoneticPr fontId="1"/>
  </si>
  <si>
    <t>sample</t>
    <phoneticPr fontId="1"/>
  </si>
  <si>
    <t>shopify</t>
    <phoneticPr fontId="1"/>
  </si>
  <si>
    <t>GSI-1</t>
    <phoneticPr fontId="1"/>
  </si>
  <si>
    <t>GSI-2</t>
  </si>
  <si>
    <t>GSI-3</t>
  </si>
  <si>
    <t>GSI-4</t>
    <phoneticPr fontId="1"/>
  </si>
  <si>
    <t>GSI-5</t>
    <phoneticPr fontId="1"/>
  </si>
  <si>
    <t>cat_idでcat_nameを検索</t>
    <rPh sb="16" eb="18">
      <t>ケンサク</t>
    </rPh>
    <phoneticPr fontId="1"/>
  </si>
  <si>
    <t>Custom処理</t>
    <rPh sb="6" eb="8">
      <t>ショリ</t>
    </rPh>
    <phoneticPr fontId="1"/>
  </si>
  <si>
    <t>auto_increment処理</t>
    <rPh sb="14" eb="16">
      <t>ショリ</t>
    </rPh>
    <phoneticPr fontId="1"/>
  </si>
  <si>
    <t>user_idでuser_nameを検索</t>
    <rPh sb="18" eb="20">
      <t>ケンサク</t>
    </rPh>
    <phoneticPr fontId="1"/>
  </si>
  <si>
    <t>PrimaryKey</t>
  </si>
  <si>
    <t>PK</t>
  </si>
  <si>
    <t>SK</t>
  </si>
  <si>
    <t>オペレーション負担を軽減する為にシングルテーブル設計を利用する</t>
  </si>
  <si>
    <t>3 つ目の理由は、オペレーション負担を軽減するためです。ここでの計算は簡単です。持っているものが少ないほど、監視しなければならない項目は少なくなります。ここでのロジックは、特に AWS が DynamoDB に加えた改善を考えると、少し複雑です。</t>
  </si>
  <si>
    <t>よく議論になるポイントから始めましょう。DynamoDB テーブルにはリレーショナルデータベースのテーブルと共通点がいくつかありますが、相違点もいくつかあります。最も重要なのは、DynamoDB はテーブル単位で個別のインフラストラクチャであるということです。そのインフラストラクチャには、設定、監視、アラーム、およびバックアップが必要です。アプリケーションに 15 の異なるエンティティ、つまり 15 種類の DynamoDB テーブルがある場合、それらが負担になる可能性があります。</t>
  </si>
  <si>
    <t>論理的には、データを1つのテーブルにまとめることで、オペレーション負担が軽減されます。監視する必要があるのは、15 テーブルではなく 1 つのテーブルだけです。さらに、AWS リージョン内のテーブル数と同時に実行されるコントロールプレーンのオペレーション数にはAWS 上の制限があります。アカウントが大きい場合や、顧客ごとにテーブルを分割している場合は、これらの上限に達する可能性があります。</t>
  </si>
  <si>
    <t>複数のエンティティに対して単一のテーブルを使用すると、テーブル全体のパフォーマンスを向上させることもできます。DynamoDB はパーティションレベルでバーストキャパシティを提供しているため、ベストエフォートベースでプロビジョニングされたスループットを短期間超えることが可能です。テーブルが大きいと、アイテムがより多くのパーティションに分散されるため、スロットリング範囲が狭くなります。</t>
  </si>
  <si>
    <t>最後に、少数のアクセスパターンがアプリケーションの読み取り/書き込みキャパシティを支配しているのはよくあることです。エンティティを単一のテーブルにまとめることで、あまり使用されないアクセスパターンがコアパターンの余剰容量に溶け込む可能性があります。</t>
  </si>
  <si>
    <t>とはいえ私の考察では、この議論は小さな要因だと思います。DynamoDB テーブルのメンテナンスはかなり軽く、ほとんどの場合、AWS CloudFormation やその他のコードとしてのインフラストラクチャツールを使用して自動化できます。自動スケーリングを設定したり、アラームを設定したり、自動化された方法でポイントインタイムリカバリによるバックアップを有効にしたりできます。</t>
  </si>
  <si>
    <t>さらに、DynamoDB では多くの改善が行われています。2018 年に DynamoDB はアダプティブキャパシティを発表しました。これにより、プロビジョンドキャパシティはテーブル全体で最も必要なパーティションに分散されます。その後、2019 年に DynamoDB はオンデマンドモードを発表しました。キャパシティの管理が面倒な場合は、オンデマンドモードに切り替えて、必要なリソース分のみを支払うことができます。</t>
  </si>
  <si>
    <t>LSI-1</t>
  </si>
  <si>
    <t>LSI-1</t>
    <phoneticPr fontId="1"/>
  </si>
  <si>
    <t>ID</t>
    <phoneticPr fontId="1"/>
  </si>
  <si>
    <t>LSI-2</t>
  </si>
  <si>
    <t>LSI-3</t>
  </si>
  <si>
    <t>LSI-4</t>
  </si>
  <si>
    <t>LSI-5</t>
  </si>
  <si>
    <t>knowledge</t>
    <phoneticPr fontId="1"/>
  </si>
  <si>
    <t>data</t>
    <phoneticPr fontId="1"/>
  </si>
  <si>
    <t>count</t>
    <phoneticPr fontId="1"/>
  </si>
  <si>
    <t>cat1</t>
    <phoneticPr fontId="1"/>
  </si>
  <si>
    <t>cat2</t>
  </si>
  <si>
    <t>cat3</t>
  </si>
  <si>
    <t>content</t>
    <phoneticPr fontId="1"/>
  </si>
  <si>
    <t>ref_mtrl_path</t>
  </si>
  <si>
    <t>ref_mtrl_name</t>
  </si>
  <si>
    <t>ref_red_url</t>
  </si>
  <si>
    <t>ref_link_url</t>
  </si>
  <si>
    <t>ref_attch_url</t>
  </si>
  <si>
    <t>note</t>
  </si>
  <si>
    <t>created_at</t>
  </si>
  <si>
    <t>created_by</t>
  </si>
  <si>
    <t>updated_at</t>
  </si>
  <si>
    <t>view_cnt</t>
    <phoneticPr fontId="1"/>
  </si>
  <si>
    <t>-</t>
  </si>
  <si>
    <t>aaa</t>
    <phoneticPr fontId="1"/>
  </si>
  <si>
    <t>aa</t>
    <phoneticPr fontId="1"/>
  </si>
  <si>
    <t>aaaaaa</t>
    <phoneticPr fontId="1"/>
  </si>
  <si>
    <t>bb</t>
    <phoneticPr fontId="1"/>
  </si>
  <si>
    <t>bbbbbb</t>
    <phoneticPr fontId="1"/>
  </si>
  <si>
    <t>…</t>
    <phoneticPr fontId="1"/>
  </si>
  <si>
    <t>latest_id</t>
    <phoneticPr fontId="1"/>
  </si>
  <si>
    <t xml:space="preserve"> \\flsv01\aa</t>
    <phoneticPr fontId="1"/>
  </si>
  <si>
    <t>資料aa</t>
    <rPh sb="0" eb="2">
      <t>シリョウ</t>
    </rPh>
    <phoneticPr fontId="1"/>
  </si>
  <si>
    <t xml:space="preserve"> https://aa</t>
    <phoneticPr fontId="1"/>
  </si>
  <si>
    <t>2023-11-11T10:10.123</t>
    <phoneticPr fontId="1"/>
  </si>
  <si>
    <t xml:space="preserve"> \\flsv01\bb</t>
    <phoneticPr fontId="1"/>
  </si>
  <si>
    <t>資料bb</t>
    <rPh sb="0" eb="2">
      <t>シリョウ</t>
    </rPh>
    <phoneticPr fontId="1"/>
  </si>
  <si>
    <t xml:space="preserve"> https://bb</t>
    <phoneticPr fontId="1"/>
  </si>
  <si>
    <t>bbb</t>
    <phoneticPr fontId="1"/>
  </si>
  <si>
    <t>category</t>
    <phoneticPr fontId="1"/>
  </si>
  <si>
    <t>user</t>
    <phoneticPr fontId="1"/>
  </si>
  <si>
    <t>最終ID番号</t>
    <rPh sb="0" eb="2">
      <t>サイシュウ</t>
    </rPh>
    <rPh sb="4" eb="6">
      <t>バンゴウ</t>
    </rPh>
    <phoneticPr fontId="1"/>
  </si>
  <si>
    <t>latest_id_num</t>
    <phoneticPr fontId="1"/>
  </si>
  <si>
    <t>cat_type</t>
  </si>
  <si>
    <t>cat_name</t>
  </si>
  <si>
    <t>search_cnt</t>
    <phoneticPr fontId="1"/>
  </si>
  <si>
    <t>OMS</t>
    <phoneticPr fontId="1"/>
  </si>
  <si>
    <t>Shopify</t>
    <phoneticPr fontId="1"/>
  </si>
  <si>
    <t>GSI-1-PK</t>
  </si>
  <si>
    <t>GSI-1-PK</t>
    <phoneticPr fontId="1"/>
  </si>
  <si>
    <t>SecondaryIndex</t>
    <phoneticPr fontId="1"/>
  </si>
  <si>
    <t>GSI-1-SK</t>
  </si>
  <si>
    <t>GSI-1-SK</t>
    <phoneticPr fontId="1"/>
  </si>
  <si>
    <t>String</t>
    <phoneticPr fontId="1"/>
  </si>
  <si>
    <t>DEL#data</t>
    <phoneticPr fontId="1"/>
  </si>
  <si>
    <t>cc</t>
    <phoneticPr fontId="1"/>
  </si>
  <si>
    <t>cccccc</t>
    <phoneticPr fontId="1"/>
  </si>
  <si>
    <t xml:space="preserve"> \\flsv01\cc</t>
    <phoneticPr fontId="1"/>
  </si>
  <si>
    <t>資料cc</t>
    <rPh sb="0" eb="2">
      <t>シリョウ</t>
    </rPh>
    <phoneticPr fontId="1"/>
  </si>
  <si>
    <t xml:space="preserve"> https://cc</t>
    <phoneticPr fontId="1"/>
  </si>
  <si>
    <t>ccc</t>
    <phoneticPr fontId="1"/>
  </si>
  <si>
    <t>Integer</t>
    <phoneticPr fontId="1"/>
  </si>
  <si>
    <t>DEL#45</t>
    <phoneticPr fontId="1"/>
  </si>
  <si>
    <t>DEL#67</t>
    <phoneticPr fontId="1"/>
  </si>
  <si>
    <t>DEL#3</t>
    <phoneticPr fontId="1"/>
  </si>
  <si>
    <t>2023-11-29T10:10.123</t>
    <phoneticPr fontId="1"/>
  </si>
  <si>
    <t>DEL#2</t>
    <phoneticPr fontId="1"/>
  </si>
  <si>
    <t>name</t>
  </si>
  <si>
    <t>password</t>
  </si>
  <si>
    <t>email</t>
  </si>
  <si>
    <t>user01</t>
    <phoneticPr fontId="1"/>
  </si>
  <si>
    <t xml:space="preserve"> user01@sample</t>
    <phoneticPr fontId="1"/>
  </si>
  <si>
    <t>pass01</t>
    <phoneticPr fontId="1"/>
  </si>
  <si>
    <t>user02</t>
    <phoneticPr fontId="1"/>
  </si>
  <si>
    <t>pass02</t>
    <phoneticPr fontId="1"/>
  </si>
  <si>
    <t xml:space="preserve"> user02@sample</t>
    <phoneticPr fontId="1"/>
  </si>
  <si>
    <t>user03</t>
    <phoneticPr fontId="1"/>
  </si>
  <si>
    <t>pass03</t>
    <phoneticPr fontId="1"/>
  </si>
  <si>
    <t xml:space="preserve"> user03@sample</t>
    <phoneticPr fontId="1"/>
  </si>
  <si>
    <t>AWSEmail</t>
    <phoneticPr fontId="1"/>
  </si>
  <si>
    <t>post_cnt</t>
    <phoneticPr fontId="1"/>
  </si>
  <si>
    <t>revise_cnt</t>
    <phoneticPr fontId="1"/>
  </si>
  <si>
    <t>total_cnt</t>
    <phoneticPr fontId="1"/>
  </si>
  <si>
    <t>パスワード</t>
  </si>
  <si>
    <t>Eメール</t>
  </si>
  <si>
    <t>AttributeNO</t>
    <phoneticPr fontId="1"/>
  </si>
  <si>
    <t>AttributeName</t>
    <phoneticPr fontId="1"/>
  </si>
  <si>
    <t>AttributeNam(JA)</t>
    <phoneticPr fontId="1"/>
  </si>
  <si>
    <t>AWSDateTime</t>
    <phoneticPr fontId="1"/>
  </si>
  <si>
    <t>4KBごとに料金が発生</t>
    <rPh sb="6" eb="8">
      <t>リョウキン</t>
    </rPh>
    <rPh sb="9" eb="11">
      <t>ハッセイ</t>
    </rPh>
    <phoneticPr fontId="1"/>
  </si>
  <si>
    <t>1KB=512文字（日本語の場合）</t>
    <rPh sb="7" eb="9">
      <t>モジ</t>
    </rPh>
    <rPh sb="10" eb="13">
      <t>ニホンゴ</t>
    </rPh>
    <rPh sb="14" eb="16">
      <t>バアイ</t>
    </rPh>
    <phoneticPr fontId="1"/>
  </si>
  <si>
    <t>itemの最大保持可能サイズは400KB</t>
    <rPh sb="5" eb="7">
      <t>サイダイ</t>
    </rPh>
    <rPh sb="7" eb="9">
      <t>ホジ</t>
    </rPh>
    <rPh sb="9" eb="11">
      <t>カノウ</t>
    </rPh>
    <phoneticPr fontId="1"/>
  </si>
  <si>
    <t>データ分類</t>
    <rPh sb="3" eb="5">
      <t>ブンルイ</t>
    </rPh>
    <phoneticPr fontId="1"/>
  </si>
  <si>
    <t>data_group</t>
    <phoneticPr fontId="1"/>
  </si>
  <si>
    <t>AppsyncDataType</t>
    <phoneticPr fontId="1"/>
  </si>
  <si>
    <t>count_key</t>
    <phoneticPr fontId="1"/>
  </si>
  <si>
    <t>count_val</t>
    <phoneticPr fontId="1"/>
  </si>
  <si>
    <t>カウントキー</t>
    <phoneticPr fontId="1"/>
  </si>
  <si>
    <t>カウント値</t>
    <rPh sb="4" eb="5">
      <t>アタイ</t>
    </rPh>
    <phoneticPr fontId="1"/>
  </si>
  <si>
    <t>Amazon</t>
    <phoneticPr fontId="1"/>
  </si>
  <si>
    <t>GSI-2-PK</t>
  </si>
  <si>
    <t>GSI-2-PK</t>
    <phoneticPr fontId="1"/>
  </si>
  <si>
    <t>GSI-2-SK</t>
  </si>
  <si>
    <t>GSI-2-SK</t>
    <phoneticPr fontId="1"/>
  </si>
  <si>
    <t>DEL#post_cnt</t>
    <phoneticPr fontId="1"/>
  </si>
  <si>
    <t>DEL#revise_cnt</t>
    <phoneticPr fontId="1"/>
  </si>
  <si>
    <t>DEL#search_cnt</t>
    <phoneticPr fontId="1"/>
  </si>
  <si>
    <t>DEL#view_cnt</t>
    <phoneticPr fontId="1"/>
  </si>
  <si>
    <t>共通項目</t>
    <rPh sb="0" eb="2">
      <t>キョウツウ</t>
    </rPh>
    <rPh sb="2" eb="4">
      <t>コウモク</t>
    </rPh>
    <phoneticPr fontId="1"/>
  </si>
  <si>
    <t>knowledge関連項目</t>
    <rPh sb="9" eb="11">
      <t>カンレン</t>
    </rPh>
    <rPh sb="11" eb="13">
      <t>コウモク</t>
    </rPh>
    <phoneticPr fontId="1"/>
  </si>
  <si>
    <t>category関連項目</t>
    <rPh sb="8" eb="10">
      <t>カンレン</t>
    </rPh>
    <rPh sb="10" eb="12">
      <t>コウモク</t>
    </rPh>
    <phoneticPr fontId="1"/>
  </si>
  <si>
    <t>User関連項目</t>
    <rPh sb="4" eb="6">
      <t>カンレン</t>
    </rPh>
    <rPh sb="6" eb="8">
      <t>コウモク</t>
    </rPh>
    <phoneticPr fontId="1"/>
  </si>
  <si>
    <t>post_cnt#1</t>
    <phoneticPr fontId="1"/>
  </si>
  <si>
    <t>revise_cnt#1</t>
    <phoneticPr fontId="1"/>
  </si>
  <si>
    <t>total_cnt#1</t>
    <phoneticPr fontId="1"/>
  </si>
  <si>
    <t>post_cnt#2</t>
    <phoneticPr fontId="1"/>
  </si>
  <si>
    <t>revise_cnt#2</t>
    <phoneticPr fontId="1"/>
  </si>
  <si>
    <t>total_cnt#2</t>
    <phoneticPr fontId="1"/>
  </si>
  <si>
    <t>post_cnt#3</t>
    <phoneticPr fontId="1"/>
  </si>
  <si>
    <t>revise_cnt#3</t>
    <phoneticPr fontId="1"/>
  </si>
  <si>
    <t>total_cnt#3</t>
    <phoneticPr fontId="1"/>
  </si>
  <si>
    <t>DEL#total_nt</t>
    <phoneticPr fontId="1"/>
  </si>
  <si>
    <t>view_cnt#2</t>
    <phoneticPr fontId="1"/>
  </si>
  <si>
    <t>view_cnt#1</t>
    <phoneticPr fontId="1"/>
  </si>
  <si>
    <t>search_cnt#1</t>
    <phoneticPr fontId="1"/>
  </si>
  <si>
    <t>search_cnt#2</t>
    <phoneticPr fontId="1"/>
  </si>
  <si>
    <t>DEL#search_cnt#3</t>
    <phoneticPr fontId="1"/>
  </si>
  <si>
    <t>DEL#view_cnt#3</t>
    <phoneticPr fontId="1"/>
  </si>
  <si>
    <t>DEL#post_cnt#3</t>
    <phoneticPr fontId="1"/>
  </si>
  <si>
    <t>DEL#revise_cnt#3</t>
    <phoneticPr fontId="1"/>
  </si>
  <si>
    <t>DEL#total_cnt#3</t>
    <phoneticPr fontId="1"/>
  </si>
  <si>
    <t>last_id#{更新日時}</t>
    <rPh sb="9" eb="11">
      <t>コウシン</t>
    </rPh>
    <rPh sb="11" eb="13">
      <t>ニチジ</t>
    </rPh>
    <phoneticPr fontId="1"/>
  </si>
  <si>
    <t>データ#更新日時</t>
    <rPh sb="4" eb="6">
      <t>コウシン</t>
    </rPh>
    <rPh sb="6" eb="8">
      <t>ニチジ</t>
    </rPh>
    <phoneticPr fontId="1"/>
  </si>
  <si>
    <t>data#{更新日時}</t>
    <rPh sb="6" eb="8">
      <t>コウシン</t>
    </rPh>
    <rPh sb="8" eb="10">
      <t>ニチジ</t>
    </rPh>
    <phoneticPr fontId="1"/>
  </si>
  <si>
    <t>view_cnt#{更新日時}</t>
    <phoneticPr fontId="1"/>
  </si>
  <si>
    <t>data#{更新日時}</t>
    <phoneticPr fontId="1"/>
  </si>
  <si>
    <t>DEL#data#{更新日時}</t>
    <phoneticPr fontId="1"/>
  </si>
  <si>
    <t>DEL#view_cnt#{更新日時}</t>
    <phoneticPr fontId="1"/>
  </si>
  <si>
    <t>data_updated</t>
    <phoneticPr fontId="1"/>
  </si>
  <si>
    <t>GSI-5-PK</t>
    <phoneticPr fontId="1"/>
  </si>
  <si>
    <t>GSI-6-PK</t>
    <phoneticPr fontId="1"/>
  </si>
  <si>
    <t>GSI-3-PK</t>
    <phoneticPr fontId="1"/>
  </si>
  <si>
    <t>GSI-4-PK</t>
    <phoneticPr fontId="1"/>
  </si>
  <si>
    <t>GSIオーバーロードキー</t>
    <phoneticPr fontId="1"/>
  </si>
  <si>
    <t>GSIオーバーロード値</t>
    <rPh sb="10" eb="11">
      <t>アタイ</t>
    </rPh>
    <phoneticPr fontId="1"/>
  </si>
  <si>
    <t>gsi_overload_key</t>
    <phoneticPr fontId="1"/>
  </si>
  <si>
    <t>gsi_overload_val</t>
    <phoneticPr fontId="1"/>
  </si>
  <si>
    <r>
      <t xml:space="preserve">GSI-6-PK, </t>
    </r>
    <r>
      <rPr>
        <sz val="11"/>
        <color rgb="FF0000FF"/>
        <rFont val="游ゴシック"/>
        <family val="3"/>
        <charset val="128"/>
        <scheme val="minor"/>
      </rPr>
      <t>GSI-3～6-SK</t>
    </r>
    <phoneticPr fontId="1"/>
  </si>
  <si>
    <t>GSI-7-PK</t>
    <phoneticPr fontId="1"/>
  </si>
  <si>
    <r>
      <t>GSI-5-PK</t>
    </r>
    <r>
      <rPr>
        <sz val="11"/>
        <color rgb="FF0000FF"/>
        <rFont val="游ゴシック"/>
        <family val="3"/>
        <charset val="128"/>
        <scheme val="minor"/>
      </rPr>
      <t>, GSI-7-SK</t>
    </r>
    <phoneticPr fontId="1"/>
  </si>
  <si>
    <t>LSI-2</t>
    <phoneticPr fontId="1"/>
  </si>
  <si>
    <t>LSI-3</t>
    <phoneticPr fontId="1"/>
  </si>
  <si>
    <t>LSI-4</t>
    <phoneticPr fontId="1"/>
  </si>
  <si>
    <t>srch_cnt</t>
    <phoneticPr fontId="1"/>
  </si>
  <si>
    <r>
      <t xml:space="preserve">GSI-6-PK, </t>
    </r>
    <r>
      <rPr>
        <sz val="11"/>
        <color rgb="FF0000FF"/>
        <rFont val="游ゴシック"/>
        <family val="3"/>
        <charset val="128"/>
        <scheme val="minor"/>
      </rPr>
      <t>GSI-2～4-SK</t>
    </r>
    <phoneticPr fontId="1"/>
  </si>
  <si>
    <t>GSI-8-PK</t>
    <phoneticPr fontId="1"/>
  </si>
  <si>
    <t>CAT#data</t>
  </si>
  <si>
    <t>CAT#cnt</t>
  </si>
  <si>
    <t>USR#data</t>
  </si>
  <si>
    <t>USR#cnt</t>
  </si>
  <si>
    <t>USR#id</t>
    <phoneticPr fontId="1"/>
  </si>
  <si>
    <t>KWL#data</t>
  </si>
  <si>
    <t>KWL#cnt</t>
  </si>
  <si>
    <t>CAT#id</t>
    <phoneticPr fontId="1"/>
  </si>
  <si>
    <t>KWL#id</t>
    <phoneticPr fontId="1"/>
  </si>
  <si>
    <t>{更新日時}#1</t>
    <rPh sb="1" eb="3">
      <t>コウシン</t>
    </rPh>
    <rPh sb="3" eb="5">
      <t>ニチジ</t>
    </rPh>
    <phoneticPr fontId="1"/>
  </si>
  <si>
    <t>{更新日時}#2</t>
    <rPh sb="1" eb="3">
      <t>コウシン</t>
    </rPh>
    <rPh sb="3" eb="5">
      <t>ニチジ</t>
    </rPh>
    <phoneticPr fontId="1"/>
  </si>
  <si>
    <t>DEL#{更新日時}#3</t>
    <rPh sb="5" eb="7">
      <t>コウシン</t>
    </rPh>
    <rPh sb="7" eb="9">
      <t>ニチジ</t>
    </rPh>
    <phoneticPr fontId="1"/>
  </si>
  <si>
    <t>5. NOT_CONTAINS: Returns items where the attribute does not contain a specified substring.</t>
    <phoneticPr fontId="1"/>
  </si>
  <si>
    <t>attribute_exists (path)</t>
  </si>
  <si>
    <t>項目に、path で指定した属性が含まれる場合、true。</t>
  </si>
  <si>
    <t>例: Product テーブルの項目に側面図があるかどうかを確認します。</t>
  </si>
  <si>
    <t>attribute_exists (#Pictures.#SideView)</t>
  </si>
  <si>
    <t>attribute_not_exists (path)</t>
  </si>
  <si>
    <t>path で指定した属性が項目に存在しない場合、true。</t>
  </si>
  <si>
    <t>例: 項目に Manufacturer 属性があるかどうかを確認します。</t>
  </si>
  <si>
    <t>attribute_not_exists (Manufacturer)</t>
  </si>
  <si>
    <t>attribute_type (path, type)</t>
  </si>
  <si>
    <t>指定したパスの属性が、特定のデータ型のものである場合、true。type パラメータは次のいずれかである必要があります。</t>
  </si>
  <si>
    <t>S — 文字列</t>
  </si>
  <si>
    <t>SS — 文字列セット</t>
  </si>
  <si>
    <t>N — 数値</t>
  </si>
  <si>
    <t>NS — 数値セット</t>
  </si>
  <si>
    <t>B — バイナリ</t>
  </si>
  <si>
    <t>BS — バイナリセット</t>
  </si>
  <si>
    <t>BOOL — ブール</t>
  </si>
  <si>
    <t>NULL — Null</t>
  </si>
  <si>
    <t>L — リスト</t>
  </si>
  <si>
    <t>M — マップ</t>
  </si>
  <si>
    <t>type パラメータには、式の属性値を使用する必要があります。</t>
  </si>
  <si>
    <t>例: QuantityOnHand 属性がリスト型のものであるかどうかを確認します。この例では、:v_sub は文字列 L のプレースホルダーです。</t>
  </si>
  <si>
    <t>attribute_type (ProductReviews.FiveStar, :v_sub)</t>
  </si>
  <si>
    <t>begins_with (path, substr)</t>
  </si>
  <si>
    <t>path で指定された属性が特定のサブ文字列から始まる場合、true。</t>
  </si>
  <si>
    <t>例: 正面図 URL の最初の数文字が http:// かどうかを確認します。</t>
  </si>
  <si>
    <t>begins_with (Pictures.FrontView, :v_sub)</t>
  </si>
  <si>
    <t>式の属性値 :v_sub は、http:// のプレースホルダーです。</t>
  </si>
  <si>
    <t>contains (path, operand)</t>
  </si>
  <si>
    <t>path で指定された属性が次の属性である場合、true。</t>
  </si>
  <si>
    <t>特定のサブ文字列を含む String。</t>
  </si>
  <si>
    <t>設定の中に特定の要素を含む Set。</t>
  </si>
  <si>
    <t>リスト内に特定の要素を含む List。</t>
  </si>
  <si>
    <t>path で指定された属性が String である場合、operand は String である必要があります。path で指定された属性が Set の場合、operand は一連の要素タイプである必要があります。</t>
  </si>
  <si>
    <t>パスとオペランドは区別する必要があります。つまり、contains (a, a) がエラーを返します。</t>
  </si>
  <si>
    <t>例: Brand 属性にサブ文字列 Company が含まれているかどうかを確認します。</t>
  </si>
  <si>
    <t>contains (Brand, :v_sub)</t>
  </si>
  <si>
    <t>式の属性値 :v_sub は、Company のプレースホルダーです。</t>
  </si>
  <si>
    <t>例: 製品が赤で入手可能かどうかを確認します。</t>
  </si>
  <si>
    <t>contains (Color, :v_sub)</t>
  </si>
  <si>
    <t>式の属性値 :v_sub は、Red のプレースホルダーです。</t>
  </si>
  <si>
    <t>size (path)</t>
  </si>
  <si>
    <t>属性のサイズを表す数値を返します。以下は、size で使用できる有効なデータ型です。</t>
  </si>
  <si>
    <t>属性は String 型で、size は文字列の長さを返します。</t>
  </si>
  <si>
    <t>例: 文字列 Brand が 20 文字以下であるかどうかを確認します。式の属性値 :v_sub は、20 のプレースホルダーです。</t>
  </si>
  <si>
    <t>size (Brand) &lt;= :v_sub</t>
  </si>
  <si>
    <t>属性が Binary バイナリ型の場合、size は属性値のバイト数を返します。</t>
  </si>
  <si>
    <t>例: ProductCatalog 項目に VideoClip という名前のバイナリ属性があるとします。この属性には使用中の製品の短いビデオが含まれます。次の式は、VideoClip が 64,000 バイトを超えるかどうかを確認します。式の属性値 :v_sub は、64000 のプレースホルダーです。</t>
  </si>
  <si>
    <t>size(VideoClip) &gt; :v_sub</t>
  </si>
  <si>
    <t>属性が Set データ型の場合、size は設定の要素数を返します。</t>
  </si>
  <si>
    <t>例: 製品が複数の色で入手可能かどうかを確認します。式の属性値 :v_sub は、1 のプレースホルダーです。</t>
  </si>
  <si>
    <t>size (Color) &lt; :v_sub</t>
  </si>
  <si>
    <t>属性が List 型または Map のものである場合、size は子要素の数を返します。</t>
  </si>
  <si>
    <t>例: OneStar のレビューの数が特定のしきい値を超えたかどうかを確認します。式の属性値 :v_sub は、3 のプレースホルダーです。</t>
  </si>
  <si>
    <t>size(ProductReviews.OneStar) &gt; :v_sub</t>
  </si>
  <si>
    <t>scan_index</t>
    <phoneticPr fontId="1"/>
  </si>
  <si>
    <t>全件取得用index</t>
    <rPh sb="0" eb="2">
      <t>ゼンケン</t>
    </rPh>
    <rPh sb="2" eb="4">
      <t>シュトク</t>
    </rPh>
    <rPh sb="4" eb="5">
      <t>ヨウ</t>
    </rPh>
    <phoneticPr fontId="1"/>
  </si>
  <si>
    <t>parent_cat_id</t>
    <phoneticPr fontId="1"/>
  </si>
  <si>
    <t>親カテゴリID</t>
    <rPh sb="0" eb="1">
      <t>オヤ</t>
    </rPh>
    <phoneticPr fontId="1"/>
  </si>
  <si>
    <t>モール</t>
    <phoneticPr fontId="1"/>
  </si>
  <si>
    <t>cat_name</t>
    <phoneticPr fontId="1"/>
  </si>
  <si>
    <t>email</t>
    <phoneticPr fontId="1"/>
  </si>
  <si>
    <t>cat_type</t>
    <phoneticPr fontId="1"/>
  </si>
  <si>
    <t>Integer</t>
  </si>
  <si>
    <t>cat2</t>
    <phoneticPr fontId="1"/>
  </si>
  <si>
    <t>updated_at</t>
    <phoneticPr fontId="1"/>
  </si>
  <si>
    <t>cat3</t>
    <phoneticPr fontId="1"/>
  </si>
  <si>
    <t>created_at</t>
    <phoneticPr fontId="1"/>
  </si>
  <si>
    <t>created_by</t>
    <phoneticPr fontId="1"/>
  </si>
  <si>
    <t>usr_name</t>
    <phoneticPr fontId="1"/>
  </si>
  <si>
    <t>last_id</t>
    <phoneticPr fontId="1"/>
  </si>
  <si>
    <t>{更新日時}#0</t>
    <rPh sb="1" eb="3">
      <t>コウシン</t>
    </rPh>
    <rPh sb="3" eb="5">
      <t>ニチジ</t>
    </rPh>
    <phoneticPr fontId="1"/>
  </si>
  <si>
    <t>Integer</t>
    <phoneticPr fontId="1"/>
  </si>
  <si>
    <t>KWL#data</t>
    <phoneticPr fontId="1"/>
  </si>
  <si>
    <t>congnito_user_id</t>
    <phoneticPr fontId="1"/>
  </si>
  <si>
    <t>CongnitoユーザID</t>
    <phoneticPr fontId="1"/>
  </si>
  <si>
    <t>abcde12345</t>
    <phoneticPr fontId="1"/>
  </si>
  <si>
    <t>abcde12346</t>
    <phoneticPr fontId="1"/>
  </si>
  <si>
    <t>abcde12347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</si>
</sst>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hh:mm:ss"/>
  </numFmts>
  <fonts count="11"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b/>
      <sz val="11"/>
      <color theme="1"/>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z val="11"/>
      <color rgb="FF0000FF"/>
      <name val="游ゴシック"/>
      <family val="2"/>
      <charset val="128"/>
      <scheme val="minor"/>
    </font>
    <font>
      <sz val="11"/>
      <color rgb="FF0000FF"/>
      <name val="游ゴシック"/>
      <family val="3"/>
      <charset val="128"/>
      <scheme val="minor"/>
    </font>
    <font>
      <sz val="9"/>
      <color theme="1"/>
      <name val="游ゴシック"/>
      <family val="3"/>
      <charset val="128"/>
      <scheme val="minor"/>
    </font>
    <font>
      <sz val="11"/>
      <name val="游ゴシック"/>
      <family val="3"/>
      <charset val="128"/>
      <scheme val="minor"/>
    </font>
    <font>
      <sz val="9"/>
      <name val="游ゴシック"/>
      <family val="3"/>
      <charset val="128"/>
      <scheme val="minor"/>
    </font>
  </fonts>
  <fills count="9">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thin">
        <color indexed="64"/>
      </top>
      <bottom style="thin">
        <color indexed="64"/>
      </bottom>
      <diagonal/>
    </border>
  </borders>
  <cellStyleXfs count="1">
    <xf numFmtId="0" fontId="0" fillId="0" borderId="0">
      <alignment vertical="center"/>
    </xf>
  </cellStyleXfs>
  <cellXfs count="125">
    <xf numFmtId="0" fontId="0" fillId="0" borderId="0" xfId="0">
      <alignment vertical="center"/>
    </xf>
    <xf numFmtId="0" fontId="3" fillId="2" borderId="0" xfId="0" applyFont="1" applyFill="1">
      <alignment vertical="center"/>
    </xf>
    <xf numFmtId="0" fontId="4" fillId="2" borderId="0" xfId="0" applyFont="1" applyFill="1">
      <alignment vertical="center"/>
    </xf>
    <xf numFmtId="0" fontId="0" fillId="2" borderId="0" xfId="0" applyFill="1">
      <alignment vertical="center"/>
    </xf>
    <xf numFmtId="0" fontId="4" fillId="3" borderId="1" xfId="0" applyFont="1" applyFill="1" applyBorder="1">
      <alignment vertical="center"/>
    </xf>
    <xf numFmtId="0" fontId="0" fillId="2" borderId="3" xfId="0" applyFill="1" applyBorder="1">
      <alignment vertical="center"/>
    </xf>
    <xf numFmtId="0" fontId="0" fillId="2" borderId="4" xfId="0" applyFill="1" applyBorder="1">
      <alignment vertical="center"/>
    </xf>
    <xf numFmtId="0" fontId="4" fillId="2" borderId="2" xfId="0" applyFont="1" applyFill="1" applyBorder="1">
      <alignment vertical="center"/>
    </xf>
    <xf numFmtId="0" fontId="4" fillId="2" borderId="3" xfId="0" applyFont="1" applyFill="1" applyBorder="1">
      <alignment vertical="center"/>
    </xf>
    <xf numFmtId="0" fontId="0" fillId="2" borderId="0" xfId="0" applyFill="1" applyBorder="1">
      <alignment vertical="center"/>
    </xf>
    <xf numFmtId="0" fontId="4" fillId="3"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2" borderId="9" xfId="0" applyFill="1" applyBorder="1">
      <alignment vertical="center"/>
    </xf>
    <xf numFmtId="0" fontId="4" fillId="2" borderId="6" xfId="0" applyFont="1" applyFill="1" applyBorder="1">
      <alignment vertical="center"/>
    </xf>
    <xf numFmtId="0" fontId="4" fillId="2" borderId="7" xfId="0" applyFont="1" applyFill="1" applyBorder="1">
      <alignment vertical="center"/>
    </xf>
    <xf numFmtId="0" fontId="4" fillId="3" borderId="10" xfId="0" applyFont="1" applyFill="1" applyBorder="1">
      <alignment vertical="center"/>
    </xf>
    <xf numFmtId="0" fontId="2" fillId="2" borderId="6" xfId="0" applyFont="1" applyFill="1" applyBorder="1">
      <alignment vertical="center"/>
    </xf>
    <xf numFmtId="0" fontId="5" fillId="2" borderId="6" xfId="0" applyFont="1" applyFill="1" applyBorder="1">
      <alignment vertical="center"/>
    </xf>
    <xf numFmtId="0" fontId="6" fillId="2" borderId="6" xfId="0" applyFont="1" applyFill="1" applyBorder="1">
      <alignment vertical="center"/>
    </xf>
    <xf numFmtId="0" fontId="7" fillId="2" borderId="6" xfId="0" applyFont="1" applyFill="1" applyBorder="1">
      <alignment vertical="center"/>
    </xf>
    <xf numFmtId="0" fontId="7" fillId="2" borderId="9" xfId="0" applyFont="1" applyFill="1" applyBorder="1">
      <alignment vertical="center"/>
    </xf>
    <xf numFmtId="0" fontId="4" fillId="2" borderId="4" xfId="0" applyFont="1" applyFill="1" applyBorder="1">
      <alignment vertical="center"/>
    </xf>
    <xf numFmtId="0" fontId="0" fillId="2" borderId="11" xfId="0" applyFill="1" applyBorder="1">
      <alignment vertical="center"/>
    </xf>
    <xf numFmtId="0" fontId="0" fillId="2" borderId="12"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0" fillId="2" borderId="15" xfId="0" applyFill="1" applyBorder="1">
      <alignment vertical="center"/>
    </xf>
    <xf numFmtId="0" fontId="4" fillId="2" borderId="11" xfId="0" applyFont="1" applyFill="1" applyBorder="1">
      <alignment vertical="center"/>
    </xf>
    <xf numFmtId="0" fontId="5" fillId="2" borderId="0" xfId="0" applyFont="1" applyFill="1">
      <alignment vertical="center"/>
    </xf>
    <xf numFmtId="0" fontId="2" fillId="2" borderId="0" xfId="0" applyFont="1" applyFill="1">
      <alignment vertical="center"/>
    </xf>
    <xf numFmtId="0" fontId="0" fillId="2" borderId="0" xfId="0" applyFill="1" applyAlignment="1">
      <alignment horizontal="left" vertical="center"/>
    </xf>
    <xf numFmtId="0" fontId="0" fillId="2" borderId="3" xfId="0" applyFill="1" applyBorder="1" applyAlignment="1">
      <alignment horizontal="left" vertical="center"/>
    </xf>
    <xf numFmtId="0" fontId="0" fillId="4" borderId="2" xfId="0" applyFill="1" applyBorder="1" applyAlignment="1">
      <alignment horizontal="left" vertical="center"/>
    </xf>
    <xf numFmtId="0" fontId="0" fillId="4" borderId="2" xfId="0" applyFill="1" applyBorder="1" applyAlignment="1">
      <alignment vertical="center"/>
    </xf>
    <xf numFmtId="0" fontId="0" fillId="4" borderId="2" xfId="0" applyFill="1" applyBorder="1">
      <alignment vertical="center"/>
    </xf>
    <xf numFmtId="0" fontId="0" fillId="4" borderId="4" xfId="0" applyFill="1" applyBorder="1" applyAlignment="1">
      <alignment horizontal="left" vertical="center"/>
    </xf>
    <xf numFmtId="0" fontId="0" fillId="4" borderId="8" xfId="0" applyFill="1" applyBorder="1" applyAlignment="1">
      <alignment horizontal="left" vertical="center"/>
    </xf>
    <xf numFmtId="0" fontId="0" fillId="4" borderId="9" xfId="0" applyFill="1" applyBorder="1" applyAlignment="1">
      <alignment horizontal="left" vertical="center"/>
    </xf>
    <xf numFmtId="0" fontId="0" fillId="4" borderId="1" xfId="0" applyFill="1" applyBorder="1" applyAlignment="1">
      <alignment horizontal="left" vertical="center"/>
    </xf>
    <xf numFmtId="0" fontId="0" fillId="2" borderId="0" xfId="0" applyFill="1" applyAlignment="1">
      <alignment horizontal="right" vertical="center"/>
    </xf>
    <xf numFmtId="0" fontId="4" fillId="0" borderId="0" xfId="0" applyFont="1">
      <alignment vertical="center"/>
    </xf>
    <xf numFmtId="0" fontId="6" fillId="2" borderId="0" xfId="0" applyFont="1" applyFill="1">
      <alignment vertical="center"/>
    </xf>
    <xf numFmtId="0" fontId="2" fillId="2" borderId="0" xfId="0" applyFont="1" applyFill="1" applyAlignment="1">
      <alignment horizontal="right" vertical="center"/>
    </xf>
    <xf numFmtId="0" fontId="0" fillId="5" borderId="12" xfId="0" applyFill="1" applyBorder="1">
      <alignment vertical="center"/>
    </xf>
    <xf numFmtId="0" fontId="0" fillId="6" borderId="11" xfId="0" applyFill="1" applyBorder="1">
      <alignment vertical="center"/>
    </xf>
    <xf numFmtId="0" fontId="0" fillId="6" borderId="12" xfId="0" applyFill="1" applyBorder="1">
      <alignment vertical="center"/>
    </xf>
    <xf numFmtId="0" fontId="3" fillId="2" borderId="0" xfId="0" applyFont="1" applyFill="1" applyAlignment="1">
      <alignment horizontal="left" vertical="center"/>
    </xf>
    <xf numFmtId="0" fontId="4" fillId="3" borderId="1" xfId="0" applyFont="1"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0" fillId="2" borderId="14" xfId="0" applyFill="1" applyBorder="1" applyAlignment="1">
      <alignment horizontal="left" vertical="center"/>
    </xf>
    <xf numFmtId="0" fontId="0" fillId="2" borderId="13" xfId="0" applyFill="1" applyBorder="1" applyAlignment="1">
      <alignment horizontal="left" vertical="center"/>
    </xf>
    <xf numFmtId="176" fontId="0" fillId="2" borderId="12" xfId="0" applyNumberFormat="1" applyFill="1" applyBorder="1" applyAlignment="1">
      <alignment horizontal="left" vertical="center"/>
    </xf>
    <xf numFmtId="176" fontId="0" fillId="2" borderId="14" xfId="0" applyNumberFormat="1" applyFill="1" applyBorder="1" applyAlignment="1">
      <alignment horizontal="left" vertical="center"/>
    </xf>
    <xf numFmtId="176" fontId="0" fillId="2" borderId="15" xfId="0" applyNumberFormat="1" applyFill="1" applyBorder="1" applyAlignment="1">
      <alignment horizontal="left" vertical="center"/>
    </xf>
    <xf numFmtId="176" fontId="0" fillId="2" borderId="3" xfId="0" applyNumberFormat="1" applyFill="1" applyBorder="1" applyAlignment="1">
      <alignment horizontal="left" vertical="center"/>
    </xf>
    <xf numFmtId="0" fontId="4" fillId="2" borderId="15" xfId="0" applyFont="1" applyFill="1" applyBorder="1">
      <alignment vertical="center"/>
    </xf>
    <xf numFmtId="0" fontId="0" fillId="2" borderId="15" xfId="0" applyFill="1" applyBorder="1" applyAlignment="1">
      <alignment horizontal="left" vertical="center"/>
    </xf>
    <xf numFmtId="0" fontId="0" fillId="2" borderId="2" xfId="0" applyFill="1" applyBorder="1">
      <alignment vertical="center"/>
    </xf>
    <xf numFmtId="0" fontId="0" fillId="2" borderId="2" xfId="0" applyFill="1" applyBorder="1" applyAlignment="1">
      <alignment horizontal="left" vertical="center"/>
    </xf>
    <xf numFmtId="0" fontId="4" fillId="2" borderId="0" xfId="0" applyFont="1" applyFill="1" applyAlignment="1">
      <alignment horizontal="left" vertical="center"/>
    </xf>
    <xf numFmtId="0" fontId="8" fillId="2" borderId="0" xfId="0" applyFont="1" applyFill="1" applyAlignment="1">
      <alignment horizontal="left" vertical="center"/>
    </xf>
    <xf numFmtId="0" fontId="5" fillId="2" borderId="0" xfId="0" applyFont="1" applyFill="1" applyAlignment="1">
      <alignment horizontal="left" vertical="center"/>
    </xf>
    <xf numFmtId="0" fontId="9" fillId="2" borderId="0" xfId="0" applyFont="1" applyFill="1" applyAlignment="1">
      <alignment horizontal="lef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5" fillId="2" borderId="3" xfId="0" applyFont="1" applyFill="1" applyBorder="1" applyAlignment="1">
      <alignment horizontal="left" vertical="center"/>
    </xf>
    <xf numFmtId="0" fontId="4" fillId="2" borderId="4" xfId="0" applyFont="1" applyFill="1" applyBorder="1" applyAlignment="1">
      <alignment horizontal="left" vertical="center"/>
    </xf>
    <xf numFmtId="0" fontId="4" fillId="2" borderId="11" xfId="0" applyFont="1" applyFill="1" applyBorder="1" applyAlignment="1">
      <alignment horizontal="left" vertical="center"/>
    </xf>
    <xf numFmtId="0" fontId="4" fillId="2" borderId="12" xfId="0" applyFont="1" applyFill="1" applyBorder="1" applyAlignment="1">
      <alignment horizontal="left" vertical="center"/>
    </xf>
    <xf numFmtId="0" fontId="5" fillId="2" borderId="12" xfId="0" applyFont="1" applyFill="1" applyBorder="1" applyAlignment="1">
      <alignment horizontal="left" vertical="center"/>
    </xf>
    <xf numFmtId="0" fontId="9" fillId="2" borderId="12" xfId="0" applyFont="1" applyFill="1" applyBorder="1" applyAlignment="1">
      <alignment horizontal="left" vertical="center"/>
    </xf>
    <xf numFmtId="0" fontId="4" fillId="2" borderId="13" xfId="0" applyFont="1" applyFill="1" applyBorder="1" applyAlignment="1">
      <alignment horizontal="left" vertical="center"/>
    </xf>
    <xf numFmtId="0" fontId="4" fillId="2" borderId="15" xfId="0" applyFont="1" applyFill="1" applyBorder="1" applyAlignment="1">
      <alignment horizontal="left" vertical="center"/>
    </xf>
    <xf numFmtId="0" fontId="8" fillId="2" borderId="13" xfId="0" applyFont="1" applyFill="1" applyBorder="1" applyAlignment="1">
      <alignment horizontal="left" vertical="center"/>
    </xf>
    <xf numFmtId="0" fontId="4" fillId="7" borderId="12" xfId="0" applyFont="1" applyFill="1" applyBorder="1" applyAlignment="1">
      <alignment horizontal="left" vertical="center"/>
    </xf>
    <xf numFmtId="0" fontId="0" fillId="7" borderId="12" xfId="0" applyFill="1" applyBorder="1" applyAlignment="1">
      <alignment horizontal="left" vertical="center"/>
    </xf>
    <xf numFmtId="0" fontId="8" fillId="7" borderId="13" xfId="0" applyFont="1" applyFill="1" applyBorder="1" applyAlignment="1">
      <alignment horizontal="left" vertical="center"/>
    </xf>
    <xf numFmtId="0" fontId="4" fillId="8" borderId="12" xfId="0" applyFont="1" applyFill="1" applyBorder="1" applyAlignment="1">
      <alignment horizontal="left" vertical="center"/>
    </xf>
    <xf numFmtId="0" fontId="8" fillId="8" borderId="13" xfId="0" applyFont="1" applyFill="1" applyBorder="1" applyAlignment="1">
      <alignment horizontal="left" vertical="center"/>
    </xf>
    <xf numFmtId="0" fontId="4" fillId="5" borderId="12" xfId="0" applyFont="1" applyFill="1" applyBorder="1" applyAlignment="1">
      <alignment horizontal="left" vertical="center"/>
    </xf>
    <xf numFmtId="0" fontId="0" fillId="5" borderId="12" xfId="0" applyFill="1" applyBorder="1" applyAlignment="1">
      <alignment horizontal="left" vertical="center"/>
    </xf>
    <xf numFmtId="0" fontId="8" fillId="5" borderId="13" xfId="0" applyFont="1" applyFill="1" applyBorder="1" applyAlignment="1">
      <alignment horizontal="left" vertical="center"/>
    </xf>
    <xf numFmtId="0" fontId="4" fillId="3" borderId="12" xfId="0" applyFont="1" applyFill="1" applyBorder="1" applyAlignment="1">
      <alignment horizontal="left" vertical="center"/>
    </xf>
    <xf numFmtId="0" fontId="8" fillId="3" borderId="13" xfId="0" applyFont="1" applyFill="1" applyBorder="1" applyAlignment="1">
      <alignment horizontal="left" vertical="center"/>
    </xf>
    <xf numFmtId="0" fontId="7" fillId="2" borderId="0" xfId="0" applyFont="1" applyFill="1" applyAlignment="1">
      <alignment horizontal="left" vertical="center"/>
    </xf>
    <xf numFmtId="0" fontId="4" fillId="2" borderId="14" xfId="0" applyFont="1" applyFill="1" applyBorder="1" applyAlignment="1">
      <alignment horizontal="left" vertical="center"/>
    </xf>
    <xf numFmtId="0" fontId="7" fillId="5" borderId="11" xfId="0" applyFont="1" applyFill="1" applyBorder="1" applyAlignment="1">
      <alignment horizontal="left" vertical="center"/>
    </xf>
    <xf numFmtId="0" fontId="9" fillId="5" borderId="12" xfId="0" applyFont="1" applyFill="1" applyBorder="1" applyAlignment="1">
      <alignment horizontal="left" vertical="center"/>
    </xf>
    <xf numFmtId="0" fontId="10" fillId="5" borderId="13" xfId="0" applyFont="1" applyFill="1" applyBorder="1" applyAlignment="1">
      <alignment horizontal="left" vertical="center"/>
    </xf>
    <xf numFmtId="0" fontId="5" fillId="5" borderId="12" xfId="0" applyFont="1" applyFill="1" applyBorder="1" applyAlignment="1">
      <alignment horizontal="left" vertical="center"/>
    </xf>
    <xf numFmtId="0" fontId="7" fillId="5" borderId="12" xfId="0" applyFont="1" applyFill="1" applyBorder="1" applyAlignment="1">
      <alignment horizontal="left" vertical="center"/>
    </xf>
    <xf numFmtId="0" fontId="7" fillId="3" borderId="12" xfId="0" applyFont="1" applyFill="1" applyBorder="1" applyAlignment="1">
      <alignment horizontal="left" vertical="center"/>
    </xf>
    <xf numFmtId="0" fontId="7" fillId="8" borderId="12" xfId="0" applyFont="1" applyFill="1" applyBorder="1" applyAlignment="1">
      <alignment horizontal="left" vertical="center"/>
    </xf>
    <xf numFmtId="0" fontId="7" fillId="7" borderId="12" xfId="0" applyFont="1" applyFill="1" applyBorder="1" applyAlignment="1">
      <alignment horizontal="left" vertical="center"/>
    </xf>
    <xf numFmtId="0" fontId="7" fillId="2" borderId="12" xfId="0" applyFont="1" applyFill="1" applyBorder="1" applyAlignment="1">
      <alignment horizontal="left" vertical="center"/>
    </xf>
    <xf numFmtId="0" fontId="5" fillId="5" borderId="11" xfId="0" applyFont="1" applyFill="1" applyBorder="1" applyAlignment="1">
      <alignment horizontal="left" vertical="center"/>
    </xf>
    <xf numFmtId="0" fontId="5" fillId="3" borderId="11" xfId="0" applyFont="1" applyFill="1" applyBorder="1" applyAlignment="1">
      <alignment horizontal="left" vertical="center"/>
    </xf>
    <xf numFmtId="0" fontId="5" fillId="8" borderId="11" xfId="0" applyFont="1" applyFill="1" applyBorder="1" applyAlignment="1">
      <alignment horizontal="left" vertical="center"/>
    </xf>
    <xf numFmtId="0" fontId="5" fillId="7" borderId="11" xfId="0" applyFont="1" applyFill="1" applyBorder="1" applyAlignment="1">
      <alignment horizontal="left" vertical="center"/>
    </xf>
    <xf numFmtId="0" fontId="5" fillId="2" borderId="11" xfId="0" applyFont="1" applyFill="1" applyBorder="1" applyAlignment="1">
      <alignment horizontal="left" vertical="center"/>
    </xf>
    <xf numFmtId="0" fontId="9" fillId="5" borderId="5" xfId="0" applyFont="1" applyFill="1" applyBorder="1" applyAlignment="1">
      <alignment vertical="center"/>
    </xf>
    <xf numFmtId="0" fontId="9" fillId="5" borderId="16" xfId="0" applyFont="1" applyFill="1" applyBorder="1" applyAlignment="1">
      <alignment vertical="center"/>
    </xf>
    <xf numFmtId="0" fontId="9" fillId="5" borderId="10" xfId="0" applyFont="1" applyFill="1" applyBorder="1" applyAlignment="1">
      <alignmen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5" fillId="3" borderId="12" xfId="0" applyFont="1" applyFill="1" applyBorder="1" applyAlignment="1">
      <alignment horizontal="left" vertical="center"/>
    </xf>
    <xf numFmtId="0" fontId="5" fillId="8" borderId="12" xfId="0" applyFont="1" applyFill="1" applyBorder="1" applyAlignment="1">
      <alignment horizontal="left" vertical="center"/>
    </xf>
    <xf numFmtId="0" fontId="9" fillId="3" borderId="5" xfId="0" applyFont="1" applyFill="1" applyBorder="1" applyAlignment="1">
      <alignment horizontal="center" vertical="center"/>
    </xf>
    <xf numFmtId="0" fontId="9" fillId="3" borderId="16" xfId="0" applyFont="1" applyFill="1" applyBorder="1" applyAlignment="1">
      <alignment horizontal="center" vertical="center"/>
    </xf>
    <xf numFmtId="0" fontId="9" fillId="8" borderId="5" xfId="0" applyFont="1" applyFill="1" applyBorder="1" applyAlignment="1">
      <alignment horizontal="center" vertical="center"/>
    </xf>
    <xf numFmtId="0" fontId="9" fillId="8" borderId="16"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16"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10" xfId="0" applyFont="1" applyFill="1" applyBorder="1" applyAlignment="1">
      <alignment horizontal="center" vertical="center"/>
    </xf>
    <xf numFmtId="0" fontId="0" fillId="4" borderId="2" xfId="0" applyFill="1" applyBorder="1" applyAlignment="1">
      <alignment horizontal="left" vertical="center"/>
    </xf>
    <xf numFmtId="0" fontId="0" fillId="4" borderId="2" xfId="0" applyFill="1" applyBorder="1" applyAlignment="1">
      <alignment horizontal="center" vertical="center"/>
    </xf>
    <xf numFmtId="0" fontId="9" fillId="3" borderId="10" xfId="0" applyFont="1" applyFill="1" applyBorder="1" applyAlignment="1">
      <alignment horizontal="center" vertical="center"/>
    </xf>
    <xf numFmtId="0" fontId="9" fillId="8" borderId="10" xfId="0" applyFont="1" applyFill="1" applyBorder="1" applyAlignment="1">
      <alignment horizontal="center" vertical="center"/>
    </xf>
    <xf numFmtId="0" fontId="9" fillId="7" borderId="10"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25400</xdr:colOff>
      <xdr:row>5</xdr:row>
      <xdr:rowOff>222250</xdr:rowOff>
    </xdr:from>
    <xdr:to>
      <xdr:col>2</xdr:col>
      <xdr:colOff>260350</xdr:colOff>
      <xdr:row>9</xdr:row>
      <xdr:rowOff>0</xdr:rowOff>
    </xdr:to>
    <xdr:sp macro="" textlink="">
      <xdr:nvSpPr>
        <xdr:cNvPr id="2" name="正方形/長方形 1"/>
        <xdr:cNvSpPr/>
      </xdr:nvSpPr>
      <xdr:spPr>
        <a:xfrm>
          <a:off x="685800" y="1365250"/>
          <a:ext cx="1441450" cy="692150"/>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25400</xdr:colOff>
      <xdr:row>3</xdr:row>
      <xdr:rowOff>19050</xdr:rowOff>
    </xdr:from>
    <xdr:to>
      <xdr:col>5</xdr:col>
      <xdr:colOff>260350</xdr:colOff>
      <xdr:row>3</xdr:row>
      <xdr:rowOff>203200</xdr:rowOff>
    </xdr:to>
    <xdr:sp macro="" textlink="">
      <xdr:nvSpPr>
        <xdr:cNvPr id="3" name="正方形/長方形 2"/>
        <xdr:cNvSpPr/>
      </xdr:nvSpPr>
      <xdr:spPr>
        <a:xfrm>
          <a:off x="3403600" y="704850"/>
          <a:ext cx="1174750" cy="184150"/>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25400</xdr:colOff>
      <xdr:row>4</xdr:row>
      <xdr:rowOff>31750</xdr:rowOff>
    </xdr:from>
    <xdr:to>
      <xdr:col>5</xdr:col>
      <xdr:colOff>260350</xdr:colOff>
      <xdr:row>4</xdr:row>
      <xdr:rowOff>215900</xdr:rowOff>
    </xdr:to>
    <xdr:sp macro="" textlink="">
      <xdr:nvSpPr>
        <xdr:cNvPr id="4" name="正方形/長方形 3"/>
        <xdr:cNvSpPr/>
      </xdr:nvSpPr>
      <xdr:spPr>
        <a:xfrm>
          <a:off x="3403600" y="946150"/>
          <a:ext cx="1174750" cy="184150"/>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17</xdr:row>
      <xdr:rowOff>19050</xdr:rowOff>
    </xdr:from>
    <xdr:to>
      <xdr:col>2</xdr:col>
      <xdr:colOff>247650</xdr:colOff>
      <xdr:row>18</xdr:row>
      <xdr:rowOff>185615</xdr:rowOff>
    </xdr:to>
    <xdr:sp macro="" textlink="">
      <xdr:nvSpPr>
        <xdr:cNvPr id="5" name="正方形/長方形 4"/>
        <xdr:cNvSpPr/>
      </xdr:nvSpPr>
      <xdr:spPr>
        <a:xfrm>
          <a:off x="404935" y="3921858"/>
          <a:ext cx="1435100" cy="396142"/>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25400</xdr:colOff>
      <xdr:row>8</xdr:row>
      <xdr:rowOff>31749</xdr:rowOff>
    </xdr:from>
    <xdr:to>
      <xdr:col>5</xdr:col>
      <xdr:colOff>260350</xdr:colOff>
      <xdr:row>9</xdr:row>
      <xdr:rowOff>200269</xdr:rowOff>
    </xdr:to>
    <xdr:sp macro="" textlink="">
      <xdr:nvSpPr>
        <xdr:cNvPr id="7" name="正方形/長方形 6"/>
        <xdr:cNvSpPr/>
      </xdr:nvSpPr>
      <xdr:spPr>
        <a:xfrm>
          <a:off x="3127131" y="1868364"/>
          <a:ext cx="1172796" cy="398097"/>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25400</xdr:colOff>
      <xdr:row>7</xdr:row>
      <xdr:rowOff>31749</xdr:rowOff>
    </xdr:from>
    <xdr:to>
      <xdr:col>8</xdr:col>
      <xdr:colOff>260350</xdr:colOff>
      <xdr:row>8</xdr:row>
      <xdr:rowOff>205153</xdr:rowOff>
    </xdr:to>
    <xdr:sp macro="" textlink="">
      <xdr:nvSpPr>
        <xdr:cNvPr id="10" name="正方形/長方形 9"/>
        <xdr:cNvSpPr/>
      </xdr:nvSpPr>
      <xdr:spPr>
        <a:xfrm>
          <a:off x="5398477" y="1638787"/>
          <a:ext cx="1329104" cy="402981"/>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19050</xdr:colOff>
      <xdr:row>12</xdr:row>
      <xdr:rowOff>31750</xdr:rowOff>
    </xdr:from>
    <xdr:to>
      <xdr:col>5</xdr:col>
      <xdr:colOff>260350</xdr:colOff>
      <xdr:row>12</xdr:row>
      <xdr:rowOff>209550</xdr:rowOff>
    </xdr:to>
    <xdr:sp macro="" textlink="">
      <xdr:nvSpPr>
        <xdr:cNvPr id="12" name="正方形/長方形 11"/>
        <xdr:cNvSpPr/>
      </xdr:nvSpPr>
      <xdr:spPr>
        <a:xfrm>
          <a:off x="3397250" y="2774950"/>
          <a:ext cx="1181100" cy="177800"/>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260350</xdr:colOff>
      <xdr:row>3</xdr:row>
      <xdr:rowOff>111125</xdr:rowOff>
    </xdr:from>
    <xdr:to>
      <xdr:col>4</xdr:col>
      <xdr:colOff>25400</xdr:colOff>
      <xdr:row>7</xdr:row>
      <xdr:rowOff>111125</xdr:rowOff>
    </xdr:to>
    <xdr:cxnSp macro="">
      <xdr:nvCxnSpPr>
        <xdr:cNvPr id="14" name="カギ線コネクタ 13"/>
        <xdr:cNvCxnSpPr>
          <a:stCxn id="2" idx="3"/>
          <a:endCxn id="3" idx="1"/>
        </xdr:cNvCxnSpPr>
      </xdr:nvCxnSpPr>
      <xdr:spPr>
        <a:xfrm flipV="1">
          <a:off x="2127250" y="796925"/>
          <a:ext cx="1276350" cy="914400"/>
        </a:xfrm>
        <a:prstGeom prst="bentConnector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260350</xdr:colOff>
      <xdr:row>3</xdr:row>
      <xdr:rowOff>117475</xdr:rowOff>
    </xdr:from>
    <xdr:to>
      <xdr:col>7</xdr:col>
      <xdr:colOff>25400</xdr:colOff>
      <xdr:row>4</xdr:row>
      <xdr:rowOff>123825</xdr:rowOff>
    </xdr:to>
    <xdr:cxnSp macro="">
      <xdr:nvCxnSpPr>
        <xdr:cNvPr id="15" name="カギ線コネクタ 14"/>
        <xdr:cNvCxnSpPr>
          <a:stCxn id="4" idx="3"/>
          <a:endCxn id="17" idx="1"/>
        </xdr:cNvCxnSpPr>
      </xdr:nvCxnSpPr>
      <xdr:spPr>
        <a:xfrm flipV="1">
          <a:off x="4578350" y="803275"/>
          <a:ext cx="1098550" cy="234950"/>
        </a:xfrm>
        <a:prstGeom prst="bentConnector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25400</xdr:colOff>
      <xdr:row>3</xdr:row>
      <xdr:rowOff>25400</xdr:rowOff>
    </xdr:from>
    <xdr:to>
      <xdr:col>8</xdr:col>
      <xdr:colOff>260350</xdr:colOff>
      <xdr:row>3</xdr:row>
      <xdr:rowOff>209550</xdr:rowOff>
    </xdr:to>
    <xdr:sp macro="" textlink="">
      <xdr:nvSpPr>
        <xdr:cNvPr id="17" name="正方形/長方形 16"/>
        <xdr:cNvSpPr/>
      </xdr:nvSpPr>
      <xdr:spPr>
        <a:xfrm>
          <a:off x="5676900" y="711200"/>
          <a:ext cx="1327150" cy="184150"/>
        </a:xfrm>
        <a:prstGeom prst="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247650</xdr:colOff>
      <xdr:row>12</xdr:row>
      <xdr:rowOff>120650</xdr:rowOff>
    </xdr:from>
    <xdr:to>
      <xdr:col>4</xdr:col>
      <xdr:colOff>19050</xdr:colOff>
      <xdr:row>17</xdr:row>
      <xdr:rowOff>217121</xdr:rowOff>
    </xdr:to>
    <xdr:cxnSp macro="">
      <xdr:nvCxnSpPr>
        <xdr:cNvPr id="19" name="カギ線コネクタ 18"/>
        <xdr:cNvCxnSpPr>
          <a:stCxn id="5" idx="3"/>
          <a:endCxn id="12" idx="1"/>
        </xdr:cNvCxnSpPr>
      </xdr:nvCxnSpPr>
      <xdr:spPr>
        <a:xfrm flipV="1">
          <a:off x="1840035" y="2875573"/>
          <a:ext cx="1280746" cy="1244356"/>
        </a:xfrm>
        <a:prstGeom prst="bentConnector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260350</xdr:colOff>
      <xdr:row>9</xdr:row>
      <xdr:rowOff>1221</xdr:rowOff>
    </xdr:from>
    <xdr:to>
      <xdr:col>5</xdr:col>
      <xdr:colOff>273050</xdr:colOff>
      <xdr:row>12</xdr:row>
      <xdr:rowOff>120650</xdr:rowOff>
    </xdr:to>
    <xdr:cxnSp macro="">
      <xdr:nvCxnSpPr>
        <xdr:cNvPr id="28" name="カギ線コネクタ 27"/>
        <xdr:cNvCxnSpPr>
          <a:stCxn id="7" idx="3"/>
          <a:endCxn id="12" idx="3"/>
        </xdr:cNvCxnSpPr>
      </xdr:nvCxnSpPr>
      <xdr:spPr>
        <a:xfrm>
          <a:off x="4299927" y="2067413"/>
          <a:ext cx="12700" cy="808160"/>
        </a:xfrm>
        <a:prstGeom prst="bentConnector3">
          <a:avLst>
            <a:gd name="adj1" fmla="val 180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260350</xdr:colOff>
      <xdr:row>8</xdr:row>
      <xdr:rowOff>3663</xdr:rowOff>
    </xdr:from>
    <xdr:to>
      <xdr:col>8</xdr:col>
      <xdr:colOff>260350</xdr:colOff>
      <xdr:row>12</xdr:row>
      <xdr:rowOff>120650</xdr:rowOff>
    </xdr:to>
    <xdr:cxnSp macro="">
      <xdr:nvCxnSpPr>
        <xdr:cNvPr id="35" name="カギ線コネクタ 34"/>
        <xdr:cNvCxnSpPr>
          <a:stCxn id="10" idx="3"/>
          <a:endCxn id="12" idx="3"/>
        </xdr:cNvCxnSpPr>
      </xdr:nvCxnSpPr>
      <xdr:spPr>
        <a:xfrm flipH="1">
          <a:off x="4299927" y="1840278"/>
          <a:ext cx="2427654" cy="1035295"/>
        </a:xfrm>
        <a:prstGeom prst="bentConnector3">
          <a:avLst>
            <a:gd name="adj1" fmla="val -941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1149684</xdr:colOff>
      <xdr:row>3</xdr:row>
      <xdr:rowOff>26738</xdr:rowOff>
    </xdr:from>
    <xdr:to>
      <xdr:col>3</xdr:col>
      <xdr:colOff>1151146</xdr:colOff>
      <xdr:row>3</xdr:row>
      <xdr:rowOff>185069</xdr:rowOff>
    </xdr:to>
    <xdr:cxnSp macro="">
      <xdr:nvCxnSpPr>
        <xdr:cNvPr id="40" name="直線コネクタ 39"/>
        <xdr:cNvCxnSpPr/>
      </xdr:nvCxnSpPr>
      <xdr:spPr>
        <a:xfrm>
          <a:off x="3024605" y="708527"/>
          <a:ext cx="1462" cy="1583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265540</xdr:colOff>
      <xdr:row>7</xdr:row>
      <xdr:rowOff>13442</xdr:rowOff>
    </xdr:from>
    <xdr:to>
      <xdr:col>3</xdr:col>
      <xdr:colOff>184727</xdr:colOff>
      <xdr:row>7</xdr:row>
      <xdr:rowOff>201289</xdr:rowOff>
    </xdr:to>
    <xdr:grpSp>
      <xdr:nvGrpSpPr>
        <xdr:cNvPr id="49" name="グループ化 48"/>
        <xdr:cNvGrpSpPr/>
      </xdr:nvGrpSpPr>
      <xdr:grpSpPr>
        <a:xfrm>
          <a:off x="1861323" y="1598181"/>
          <a:ext cx="200795" cy="187847"/>
          <a:chOff x="1858813" y="1609601"/>
          <a:chExt cx="199164" cy="187847"/>
        </a:xfrm>
      </xdr:grpSpPr>
      <xdr:sp macro="" textlink="">
        <xdr:nvSpPr>
          <xdr:cNvPr id="38" name="二等辺三角形 37"/>
          <xdr:cNvSpPr/>
        </xdr:nvSpPr>
        <xdr:spPr>
          <a:xfrm rot="5400000">
            <a:off x="1831239" y="1637175"/>
            <a:ext cx="187847" cy="132699"/>
          </a:xfrm>
          <a:prstGeom prst="triangle">
            <a:avLst/>
          </a:prstGeom>
          <a:noFill/>
          <a:ln w="63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楕円 41"/>
          <xdr:cNvSpPr/>
        </xdr:nvSpPr>
        <xdr:spPr>
          <a:xfrm>
            <a:off x="1992312" y="1668318"/>
            <a:ext cx="65665" cy="69634"/>
          </a:xfrm>
          <a:prstGeom prst="ellipse">
            <a:avLst/>
          </a:prstGeom>
          <a:solidFill>
            <a:schemeClr val="bg1"/>
          </a:solidFill>
          <a:ln w="95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943856</xdr:colOff>
      <xdr:row>3</xdr:row>
      <xdr:rowOff>44254</xdr:rowOff>
    </xdr:from>
    <xdr:to>
      <xdr:col>6</xdr:col>
      <xdr:colOff>945318</xdr:colOff>
      <xdr:row>3</xdr:row>
      <xdr:rowOff>202585</xdr:rowOff>
    </xdr:to>
    <xdr:cxnSp macro="">
      <xdr:nvCxnSpPr>
        <xdr:cNvPr id="45" name="直線コネクタ 44"/>
        <xdr:cNvCxnSpPr/>
      </xdr:nvCxnSpPr>
      <xdr:spPr>
        <a:xfrm>
          <a:off x="5270615" y="727426"/>
          <a:ext cx="1462" cy="1583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1136547</xdr:colOff>
      <xdr:row>12</xdr:row>
      <xdr:rowOff>39876</xdr:rowOff>
    </xdr:from>
    <xdr:to>
      <xdr:col>3</xdr:col>
      <xdr:colOff>1138009</xdr:colOff>
      <xdr:row>12</xdr:row>
      <xdr:rowOff>198207</xdr:rowOff>
    </xdr:to>
    <xdr:cxnSp macro="">
      <xdr:nvCxnSpPr>
        <xdr:cNvPr id="46" name="直線コネクタ 45"/>
        <xdr:cNvCxnSpPr/>
      </xdr:nvCxnSpPr>
      <xdr:spPr>
        <a:xfrm>
          <a:off x="3010892" y="2772566"/>
          <a:ext cx="1462" cy="1583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76754</xdr:colOff>
      <xdr:row>12</xdr:row>
      <xdr:rowOff>31117</xdr:rowOff>
    </xdr:from>
    <xdr:to>
      <xdr:col>6</xdr:col>
      <xdr:colOff>78216</xdr:colOff>
      <xdr:row>12</xdr:row>
      <xdr:rowOff>189448</xdr:rowOff>
    </xdr:to>
    <xdr:cxnSp macro="">
      <xdr:nvCxnSpPr>
        <xdr:cNvPr id="47" name="直線コネクタ 46"/>
        <xdr:cNvCxnSpPr/>
      </xdr:nvCxnSpPr>
      <xdr:spPr>
        <a:xfrm>
          <a:off x="4403513" y="2763807"/>
          <a:ext cx="1462" cy="15833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264228</xdr:colOff>
      <xdr:row>8</xdr:row>
      <xdr:rowOff>136393</xdr:rowOff>
    </xdr:from>
    <xdr:to>
      <xdr:col>6</xdr:col>
      <xdr:colOff>183415</xdr:colOff>
      <xdr:row>9</xdr:row>
      <xdr:rowOff>94663</xdr:rowOff>
    </xdr:to>
    <xdr:grpSp>
      <xdr:nvGrpSpPr>
        <xdr:cNvPr id="59" name="グループ化 58"/>
        <xdr:cNvGrpSpPr/>
      </xdr:nvGrpSpPr>
      <xdr:grpSpPr>
        <a:xfrm>
          <a:off x="4311663" y="1947523"/>
          <a:ext cx="200795" cy="184662"/>
          <a:chOff x="1858813" y="1609601"/>
          <a:chExt cx="199164" cy="187847"/>
        </a:xfrm>
      </xdr:grpSpPr>
      <xdr:sp macro="" textlink="">
        <xdr:nvSpPr>
          <xdr:cNvPr id="60" name="二等辺三角形 59"/>
          <xdr:cNvSpPr/>
        </xdr:nvSpPr>
        <xdr:spPr>
          <a:xfrm rot="5400000">
            <a:off x="1831239" y="1637175"/>
            <a:ext cx="187847" cy="132699"/>
          </a:xfrm>
          <a:prstGeom prst="triangle">
            <a:avLst/>
          </a:prstGeom>
          <a:noFill/>
          <a:ln w="63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楕円 60"/>
          <xdr:cNvSpPr/>
        </xdr:nvSpPr>
        <xdr:spPr>
          <a:xfrm>
            <a:off x="1992312" y="1668318"/>
            <a:ext cx="65665" cy="69634"/>
          </a:xfrm>
          <a:prstGeom prst="ellipse">
            <a:avLst/>
          </a:prstGeom>
          <a:solidFill>
            <a:schemeClr val="bg1"/>
          </a:solidFill>
          <a:ln w="95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264229</xdr:colOff>
      <xdr:row>4</xdr:row>
      <xdr:rowOff>28929</xdr:rowOff>
    </xdr:from>
    <xdr:to>
      <xdr:col>6</xdr:col>
      <xdr:colOff>183416</xdr:colOff>
      <xdr:row>4</xdr:row>
      <xdr:rowOff>216776</xdr:rowOff>
    </xdr:to>
    <xdr:grpSp>
      <xdr:nvGrpSpPr>
        <xdr:cNvPr id="62" name="グループ化 61"/>
        <xdr:cNvGrpSpPr/>
      </xdr:nvGrpSpPr>
      <xdr:grpSpPr>
        <a:xfrm>
          <a:off x="4311664" y="934494"/>
          <a:ext cx="200795" cy="187847"/>
          <a:chOff x="1858813" y="1609601"/>
          <a:chExt cx="199164" cy="187847"/>
        </a:xfrm>
      </xdr:grpSpPr>
      <xdr:sp macro="" textlink="">
        <xdr:nvSpPr>
          <xdr:cNvPr id="63" name="二等辺三角形 62"/>
          <xdr:cNvSpPr/>
        </xdr:nvSpPr>
        <xdr:spPr>
          <a:xfrm rot="5400000">
            <a:off x="1831239" y="1637175"/>
            <a:ext cx="187847" cy="132699"/>
          </a:xfrm>
          <a:prstGeom prst="triangle">
            <a:avLst/>
          </a:prstGeom>
          <a:noFill/>
          <a:ln w="63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楕円 63"/>
          <xdr:cNvSpPr/>
        </xdr:nvSpPr>
        <xdr:spPr>
          <a:xfrm>
            <a:off x="1992312" y="1668318"/>
            <a:ext cx="65665" cy="69634"/>
          </a:xfrm>
          <a:prstGeom prst="ellipse">
            <a:avLst/>
          </a:prstGeom>
          <a:solidFill>
            <a:schemeClr val="bg1"/>
          </a:solidFill>
          <a:ln w="95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259344</xdr:colOff>
      <xdr:row>7</xdr:row>
      <xdr:rowOff>146162</xdr:rowOff>
    </xdr:from>
    <xdr:to>
      <xdr:col>9</xdr:col>
      <xdr:colOff>178531</xdr:colOff>
      <xdr:row>8</xdr:row>
      <xdr:rowOff>104432</xdr:rowOff>
    </xdr:to>
    <xdr:grpSp>
      <xdr:nvGrpSpPr>
        <xdr:cNvPr id="67" name="グループ化 66"/>
        <xdr:cNvGrpSpPr/>
      </xdr:nvGrpSpPr>
      <xdr:grpSpPr>
        <a:xfrm>
          <a:off x="6736344" y="1730901"/>
          <a:ext cx="200796" cy="184661"/>
          <a:chOff x="1858813" y="1609601"/>
          <a:chExt cx="199164" cy="187847"/>
        </a:xfrm>
      </xdr:grpSpPr>
      <xdr:sp macro="" textlink="">
        <xdr:nvSpPr>
          <xdr:cNvPr id="68" name="二等辺三角形 67"/>
          <xdr:cNvSpPr/>
        </xdr:nvSpPr>
        <xdr:spPr>
          <a:xfrm rot="5400000">
            <a:off x="1831239" y="1637175"/>
            <a:ext cx="187847" cy="132699"/>
          </a:xfrm>
          <a:prstGeom prst="triangle">
            <a:avLst/>
          </a:prstGeom>
          <a:noFill/>
          <a:ln w="63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楕円 68"/>
          <xdr:cNvSpPr/>
        </xdr:nvSpPr>
        <xdr:spPr>
          <a:xfrm>
            <a:off x="1992312" y="1668318"/>
            <a:ext cx="65665" cy="69634"/>
          </a:xfrm>
          <a:prstGeom prst="ellipse">
            <a:avLst/>
          </a:prstGeom>
          <a:solidFill>
            <a:schemeClr val="bg1"/>
          </a:solidFill>
          <a:ln w="95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243453</xdr:colOff>
      <xdr:row>17</xdr:row>
      <xdr:rowOff>123876</xdr:rowOff>
    </xdr:from>
    <xdr:to>
      <xdr:col>3</xdr:col>
      <xdr:colOff>162640</xdr:colOff>
      <xdr:row>18</xdr:row>
      <xdr:rowOff>85332</xdr:rowOff>
    </xdr:to>
    <xdr:grpSp>
      <xdr:nvGrpSpPr>
        <xdr:cNvPr id="71" name="グループ化 70"/>
        <xdr:cNvGrpSpPr/>
      </xdr:nvGrpSpPr>
      <xdr:grpSpPr>
        <a:xfrm>
          <a:off x="1839236" y="3972528"/>
          <a:ext cx="200795" cy="187847"/>
          <a:chOff x="1858813" y="1609601"/>
          <a:chExt cx="199164" cy="187847"/>
        </a:xfrm>
      </xdr:grpSpPr>
      <xdr:sp macro="" textlink="">
        <xdr:nvSpPr>
          <xdr:cNvPr id="72" name="二等辺三角形 71"/>
          <xdr:cNvSpPr/>
        </xdr:nvSpPr>
        <xdr:spPr>
          <a:xfrm rot="5400000">
            <a:off x="1831239" y="1637175"/>
            <a:ext cx="187847" cy="132699"/>
          </a:xfrm>
          <a:prstGeom prst="triangle">
            <a:avLst/>
          </a:prstGeom>
          <a:noFill/>
          <a:ln w="63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楕円 72"/>
          <xdr:cNvSpPr/>
        </xdr:nvSpPr>
        <xdr:spPr>
          <a:xfrm>
            <a:off x="1992312" y="1668318"/>
            <a:ext cx="65665" cy="69634"/>
          </a:xfrm>
          <a:prstGeom prst="ellipse">
            <a:avLst/>
          </a:prstGeom>
          <a:solidFill>
            <a:schemeClr val="bg1"/>
          </a:solidFill>
          <a:ln w="952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381000</xdr:colOff>
      <xdr:row>21</xdr:row>
      <xdr:rowOff>110436</xdr:rowOff>
    </xdr:from>
    <xdr:to>
      <xdr:col>9</xdr:col>
      <xdr:colOff>250962</xdr:colOff>
      <xdr:row>41</xdr:row>
      <xdr:rowOff>192134</xdr:rowOff>
    </xdr:to>
    <xdr:pic>
      <xdr:nvPicPr>
        <xdr:cNvPr id="74" name="図 73"/>
        <xdr:cNvPicPr>
          <a:picLocks noChangeAspect="1"/>
        </xdr:cNvPicPr>
      </xdr:nvPicPr>
      <xdr:blipFill>
        <a:blip xmlns:r="http://schemas.openxmlformats.org/officeDocument/2006/relationships" r:embed="rId1"/>
        <a:stretch>
          <a:fillRect/>
        </a:stretch>
      </xdr:blipFill>
      <xdr:spPr>
        <a:xfrm>
          <a:off x="381000" y="4864653"/>
          <a:ext cx="6628571" cy="46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158750</xdr:colOff>
      <xdr:row>0</xdr:row>
      <xdr:rowOff>120650</xdr:rowOff>
    </xdr:from>
    <xdr:to>
      <xdr:col>32</xdr:col>
      <xdr:colOff>478807</xdr:colOff>
      <xdr:row>16</xdr:row>
      <xdr:rowOff>72574</xdr:rowOff>
    </xdr:to>
    <xdr:pic>
      <xdr:nvPicPr>
        <xdr:cNvPr id="3" name="図 2"/>
        <xdr:cNvPicPr>
          <a:picLocks noChangeAspect="1"/>
        </xdr:cNvPicPr>
      </xdr:nvPicPr>
      <xdr:blipFill>
        <a:blip xmlns:r="http://schemas.openxmlformats.org/officeDocument/2006/relationships" r:embed="rId1"/>
        <a:stretch>
          <a:fillRect/>
        </a:stretch>
      </xdr:blipFill>
      <xdr:spPr>
        <a:xfrm>
          <a:off x="16668750" y="120650"/>
          <a:ext cx="4942857" cy="3609524"/>
        </a:xfrm>
        <a:prstGeom prst="rect">
          <a:avLst/>
        </a:prstGeom>
      </xdr:spPr>
    </xdr:pic>
    <xdr:clientData/>
  </xdr:twoCellAnchor>
  <xdr:twoCellAnchor editAs="oneCell">
    <xdr:from>
      <xdr:col>17</xdr:col>
      <xdr:colOff>266699</xdr:colOff>
      <xdr:row>23</xdr:row>
      <xdr:rowOff>139701</xdr:rowOff>
    </xdr:from>
    <xdr:to>
      <xdr:col>25</xdr:col>
      <xdr:colOff>218094</xdr:colOff>
      <xdr:row>45</xdr:row>
      <xdr:rowOff>200511</xdr:rowOff>
    </xdr:to>
    <xdr:pic>
      <xdr:nvPicPr>
        <xdr:cNvPr id="4" name="図 3"/>
        <xdr:cNvPicPr>
          <a:picLocks noChangeAspect="1"/>
        </xdr:cNvPicPr>
      </xdr:nvPicPr>
      <xdr:blipFill>
        <a:blip xmlns:r="http://schemas.openxmlformats.org/officeDocument/2006/relationships" r:embed="rId2"/>
        <a:stretch>
          <a:fillRect/>
        </a:stretch>
      </xdr:blipFill>
      <xdr:spPr>
        <a:xfrm>
          <a:off x="11439524" y="5616576"/>
          <a:ext cx="5209195" cy="5299560"/>
        </a:xfrm>
        <a:prstGeom prst="rect">
          <a:avLst/>
        </a:prstGeom>
      </xdr:spPr>
    </xdr:pic>
    <xdr:clientData/>
  </xdr:twoCellAnchor>
  <xdr:twoCellAnchor editAs="oneCell">
    <xdr:from>
      <xdr:col>18</xdr:col>
      <xdr:colOff>302252</xdr:colOff>
      <xdr:row>0</xdr:row>
      <xdr:rowOff>127000</xdr:rowOff>
    </xdr:from>
    <xdr:to>
      <xdr:col>25</xdr:col>
      <xdr:colOff>19050</xdr:colOff>
      <xdr:row>20</xdr:row>
      <xdr:rowOff>114015</xdr:rowOff>
    </xdr:to>
    <xdr:pic>
      <xdr:nvPicPr>
        <xdr:cNvPr id="5" name="図 4"/>
        <xdr:cNvPicPr>
          <a:picLocks noChangeAspect="1"/>
        </xdr:cNvPicPr>
      </xdr:nvPicPr>
      <xdr:blipFill>
        <a:blip xmlns:r="http://schemas.openxmlformats.org/officeDocument/2006/relationships" r:embed="rId3"/>
        <a:stretch>
          <a:fillRect/>
        </a:stretch>
      </xdr:blipFill>
      <xdr:spPr>
        <a:xfrm>
          <a:off x="12189452" y="127000"/>
          <a:ext cx="4339598" cy="45590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12700</xdr:rowOff>
    </xdr:from>
    <xdr:to>
      <xdr:col>9</xdr:col>
      <xdr:colOff>236505</xdr:colOff>
      <xdr:row>9</xdr:row>
      <xdr:rowOff>145550</xdr:rowOff>
    </xdr:to>
    <xdr:pic>
      <xdr:nvPicPr>
        <xdr:cNvPr id="2" name="図 1"/>
        <xdr:cNvPicPr>
          <a:picLocks noChangeAspect="1"/>
        </xdr:cNvPicPr>
      </xdr:nvPicPr>
      <xdr:blipFill>
        <a:blip xmlns:r="http://schemas.openxmlformats.org/officeDocument/2006/relationships" r:embed="rId1"/>
        <a:stretch>
          <a:fillRect/>
        </a:stretch>
      </xdr:blipFill>
      <xdr:spPr>
        <a:xfrm>
          <a:off x="0" y="241300"/>
          <a:ext cx="6180105" cy="1961650"/>
        </a:xfrm>
        <a:prstGeom prst="rect">
          <a:avLst/>
        </a:prstGeom>
      </xdr:spPr>
    </xdr:pic>
    <xdr:clientData/>
  </xdr:twoCellAnchor>
  <xdr:twoCellAnchor editAs="oneCell">
    <xdr:from>
      <xdr:col>0</xdr:col>
      <xdr:colOff>0</xdr:colOff>
      <xdr:row>11</xdr:row>
      <xdr:rowOff>0</xdr:rowOff>
    </xdr:from>
    <xdr:to>
      <xdr:col>9</xdr:col>
      <xdr:colOff>265415</xdr:colOff>
      <xdr:row>19</xdr:row>
      <xdr:rowOff>224914</xdr:rowOff>
    </xdr:to>
    <xdr:pic>
      <xdr:nvPicPr>
        <xdr:cNvPr id="3" name="図 2"/>
        <xdr:cNvPicPr>
          <a:picLocks noChangeAspect="1"/>
        </xdr:cNvPicPr>
      </xdr:nvPicPr>
      <xdr:blipFill>
        <a:blip xmlns:r="http://schemas.openxmlformats.org/officeDocument/2006/relationships" r:embed="rId2"/>
        <a:stretch>
          <a:fillRect/>
        </a:stretch>
      </xdr:blipFill>
      <xdr:spPr>
        <a:xfrm>
          <a:off x="0" y="2743200"/>
          <a:ext cx="6209015" cy="205371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example.com/" TargetMode="External"/><Relationship Id="rId2" Type="http://schemas.openxmlformats.org/officeDocument/2006/relationships/hyperlink" Target="https://example.com/" TargetMode="External"/><Relationship Id="rId1" Type="http://schemas.openxmlformats.org/officeDocument/2006/relationships/hyperlink" Target="https://redmine***/" TargetMode="External"/><Relationship Id="rId5" Type="http://schemas.openxmlformats.org/officeDocument/2006/relationships/printerSettings" Target="../printerSettings/printerSettings2.bin"/><Relationship Id="rId4" Type="http://schemas.openxmlformats.org/officeDocument/2006/relationships/hyperlink" Target="mailto:sample@trans-cosmos.co.j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zoomScale="115" zoomScaleNormal="115" workbookViewId="0">
      <selection activeCell="H11" sqref="H11"/>
    </sheetView>
  </sheetViews>
  <sheetFormatPr defaultColWidth="8.625" defaultRowHeight="18.75" x14ac:dyDescent="0.4"/>
  <cols>
    <col min="1" max="1" width="5.125" style="3" customWidth="1"/>
    <col min="2" max="2" width="15.875" style="3" bestFit="1" customWidth="1"/>
    <col min="3" max="3" width="3.625" style="3" bestFit="1" customWidth="1"/>
    <col min="4" max="4" width="16.125" style="3" customWidth="1"/>
    <col min="5" max="5" width="12.375" style="3" bestFit="1" customWidth="1"/>
    <col min="6" max="6" width="3.625" style="3" bestFit="1" customWidth="1"/>
    <col min="7" max="7" width="13.875" style="3" customWidth="1"/>
    <col min="8" max="8" width="14.375" style="3" bestFit="1" customWidth="1"/>
    <col min="9" max="9" width="3.625" style="3" bestFit="1" customWidth="1"/>
    <col min="10" max="16384" width="8.625" style="3"/>
  </cols>
  <sheetData>
    <row r="1" spans="1:9" x14ac:dyDescent="0.4">
      <c r="A1" s="1" t="s">
        <v>84</v>
      </c>
    </row>
    <row r="3" spans="1:9" x14ac:dyDescent="0.4">
      <c r="B3" s="10" t="s">
        <v>36</v>
      </c>
      <c r="C3" s="17"/>
      <c r="E3" s="10" t="s">
        <v>57</v>
      </c>
      <c r="F3" s="17"/>
      <c r="H3" s="10" t="s">
        <v>58</v>
      </c>
      <c r="I3" s="17"/>
    </row>
    <row r="4" spans="1:9" x14ac:dyDescent="0.4">
      <c r="B4" s="12" t="s">
        <v>40</v>
      </c>
      <c r="C4" s="18" t="s">
        <v>3</v>
      </c>
      <c r="E4" s="12" t="s">
        <v>56</v>
      </c>
      <c r="F4" s="19" t="s">
        <v>3</v>
      </c>
      <c r="H4" s="12" t="s">
        <v>60</v>
      </c>
      <c r="I4" s="19" t="s">
        <v>3</v>
      </c>
    </row>
    <row r="5" spans="1:9" x14ac:dyDescent="0.4">
      <c r="B5" s="12" t="s">
        <v>41</v>
      </c>
      <c r="C5" s="11"/>
      <c r="E5" s="12" t="s">
        <v>58</v>
      </c>
      <c r="F5" s="21" t="s">
        <v>22</v>
      </c>
      <c r="H5" s="12" t="s">
        <v>61</v>
      </c>
      <c r="I5" s="11"/>
    </row>
    <row r="6" spans="1:9" x14ac:dyDescent="0.4">
      <c r="B6" s="12" t="s">
        <v>42</v>
      </c>
      <c r="C6" s="11"/>
      <c r="E6" s="12" t="s">
        <v>59</v>
      </c>
      <c r="F6" s="11"/>
      <c r="H6" s="12" t="s">
        <v>52</v>
      </c>
      <c r="I6" s="11"/>
    </row>
    <row r="7" spans="1:9" x14ac:dyDescent="0.4">
      <c r="B7" s="12" t="s">
        <v>43</v>
      </c>
      <c r="C7" s="20" t="s">
        <v>22</v>
      </c>
      <c r="E7" s="12" t="s">
        <v>52</v>
      </c>
      <c r="F7" s="11"/>
      <c r="H7" s="12" t="s">
        <v>54</v>
      </c>
      <c r="I7" s="11"/>
    </row>
    <row r="8" spans="1:9" x14ac:dyDescent="0.4">
      <c r="B8" s="12" t="s">
        <v>44</v>
      </c>
      <c r="C8" s="21" t="s">
        <v>22</v>
      </c>
      <c r="E8" s="12" t="s">
        <v>54</v>
      </c>
      <c r="F8" s="11"/>
      <c r="H8" s="12" t="s">
        <v>53</v>
      </c>
      <c r="I8" s="21" t="s">
        <v>22</v>
      </c>
    </row>
    <row r="9" spans="1:9" x14ac:dyDescent="0.4">
      <c r="B9" s="12" t="s">
        <v>45</v>
      </c>
      <c r="C9" s="21" t="s">
        <v>22</v>
      </c>
      <c r="E9" s="12" t="s">
        <v>53</v>
      </c>
      <c r="F9" s="21" t="s">
        <v>22</v>
      </c>
      <c r="H9" s="13" t="s">
        <v>55</v>
      </c>
      <c r="I9" s="22" t="s">
        <v>22</v>
      </c>
    </row>
    <row r="10" spans="1:9" x14ac:dyDescent="0.4">
      <c r="B10" s="12" t="s">
        <v>46</v>
      </c>
      <c r="C10" s="11"/>
      <c r="E10" s="13" t="s">
        <v>55</v>
      </c>
      <c r="F10" s="22" t="s">
        <v>22</v>
      </c>
    </row>
    <row r="11" spans="1:9" x14ac:dyDescent="0.4">
      <c r="B11" s="12" t="s">
        <v>47</v>
      </c>
      <c r="C11" s="11"/>
    </row>
    <row r="12" spans="1:9" x14ac:dyDescent="0.4">
      <c r="B12" s="12" t="s">
        <v>48</v>
      </c>
      <c r="C12" s="11"/>
      <c r="E12" s="10" t="s">
        <v>63</v>
      </c>
      <c r="F12" s="17"/>
    </row>
    <row r="13" spans="1:9" x14ac:dyDescent="0.4">
      <c r="B13" s="12" t="s">
        <v>49</v>
      </c>
      <c r="C13" s="11"/>
      <c r="E13" s="16" t="s">
        <v>64</v>
      </c>
      <c r="F13" s="19" t="s">
        <v>3</v>
      </c>
    </row>
    <row r="14" spans="1:9" x14ac:dyDescent="0.4">
      <c r="B14" s="12" t="s">
        <v>50</v>
      </c>
      <c r="C14" s="11"/>
      <c r="E14" s="16" t="s">
        <v>62</v>
      </c>
      <c r="F14" s="15"/>
    </row>
    <row r="15" spans="1:9" x14ac:dyDescent="0.4">
      <c r="B15" s="12" t="s">
        <v>51</v>
      </c>
      <c r="C15" s="11"/>
      <c r="E15" s="16" t="s">
        <v>65</v>
      </c>
      <c r="F15" s="15"/>
    </row>
    <row r="16" spans="1:9" x14ac:dyDescent="0.4">
      <c r="B16" s="12" t="s">
        <v>52</v>
      </c>
      <c r="C16" s="11"/>
      <c r="E16" s="16" t="s">
        <v>66</v>
      </c>
      <c r="F16" s="15"/>
    </row>
    <row r="17" spans="2:6" x14ac:dyDescent="0.4">
      <c r="B17" s="12" t="s">
        <v>54</v>
      </c>
      <c r="C17" s="11"/>
      <c r="E17" s="12" t="s">
        <v>52</v>
      </c>
      <c r="F17" s="11"/>
    </row>
    <row r="18" spans="2:6" x14ac:dyDescent="0.4">
      <c r="B18" s="12" t="s">
        <v>53</v>
      </c>
      <c r="C18" s="21" t="s">
        <v>22</v>
      </c>
      <c r="E18" s="12" t="s">
        <v>53</v>
      </c>
      <c r="F18" s="11"/>
    </row>
    <row r="19" spans="2:6" x14ac:dyDescent="0.4">
      <c r="B19" s="13" t="s">
        <v>55</v>
      </c>
      <c r="C19" s="22" t="s">
        <v>22</v>
      </c>
      <c r="E19" s="12" t="s">
        <v>54</v>
      </c>
      <c r="F19" s="11"/>
    </row>
    <row r="20" spans="2:6" x14ac:dyDescent="0.4">
      <c r="E20" s="13" t="s">
        <v>55</v>
      </c>
      <c r="F20" s="14"/>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85" zoomScaleNormal="85" workbookViewId="0">
      <selection activeCell="C3" sqref="C3"/>
    </sheetView>
  </sheetViews>
  <sheetFormatPr defaultColWidth="8.625" defaultRowHeight="18.75" x14ac:dyDescent="0.4"/>
  <cols>
    <col min="1" max="1" width="2.625" style="3" customWidth="1"/>
    <col min="2" max="2" width="14.375" style="2" bestFit="1" customWidth="1"/>
    <col min="3" max="3" width="14.125" style="2" bestFit="1" customWidth="1"/>
    <col min="4" max="4" width="15.875" style="3" bestFit="1" customWidth="1"/>
    <col min="5" max="5" width="14.25" style="3" bestFit="1" customWidth="1"/>
    <col min="6" max="6" width="10.125" style="3" bestFit="1" customWidth="1"/>
    <col min="7" max="7" width="6.875" style="3" bestFit="1" customWidth="1"/>
    <col min="8" max="8" width="34.125" style="3" bestFit="1" customWidth="1"/>
    <col min="9" max="9" width="8.625" style="3"/>
    <col min="10" max="10" width="14.375" style="3" bestFit="1" customWidth="1"/>
    <col min="11" max="11" width="14.25" style="3" bestFit="1" customWidth="1"/>
    <col min="12" max="12" width="10.75" style="3" customWidth="1"/>
    <col min="13" max="13" width="8.625" style="3"/>
    <col min="14" max="14" width="15.875" style="3" bestFit="1" customWidth="1"/>
    <col min="15" max="16384" width="8.625" style="3"/>
  </cols>
  <sheetData>
    <row r="1" spans="1:8" s="1" customFormat="1" x14ac:dyDescent="0.4">
      <c r="A1" s="1" t="s">
        <v>83</v>
      </c>
      <c r="C1" s="2"/>
    </row>
    <row r="2" spans="1:8" s="2" customFormat="1" x14ac:dyDescent="0.4">
      <c r="B2" s="4" t="s">
        <v>80</v>
      </c>
      <c r="C2" s="4" t="s">
        <v>82</v>
      </c>
      <c r="D2" s="4" t="s">
        <v>81</v>
      </c>
      <c r="E2" s="4" t="s">
        <v>37</v>
      </c>
      <c r="F2" s="4" t="s">
        <v>38</v>
      </c>
      <c r="G2" s="4" t="s">
        <v>39</v>
      </c>
      <c r="H2" s="4" t="s">
        <v>67</v>
      </c>
    </row>
    <row r="3" spans="1:8" x14ac:dyDescent="0.4">
      <c r="B3" s="8" t="s">
        <v>36</v>
      </c>
      <c r="C3" s="8" t="s">
        <v>2</v>
      </c>
      <c r="D3" s="24" t="s">
        <v>40</v>
      </c>
      <c r="E3" s="24" t="s">
        <v>18</v>
      </c>
      <c r="F3" s="24" t="s">
        <v>31</v>
      </c>
      <c r="G3" s="24" t="s">
        <v>3</v>
      </c>
      <c r="H3" s="24" t="s">
        <v>75</v>
      </c>
    </row>
    <row r="4" spans="1:8" x14ac:dyDescent="0.4">
      <c r="B4" s="8"/>
      <c r="C4" s="8"/>
      <c r="D4" s="25" t="s">
        <v>41</v>
      </c>
      <c r="E4" s="25" t="s">
        <v>4</v>
      </c>
      <c r="F4" s="25" t="s">
        <v>32</v>
      </c>
      <c r="G4" s="25"/>
      <c r="H4" s="25" t="s">
        <v>41</v>
      </c>
    </row>
    <row r="5" spans="1:8" x14ac:dyDescent="0.4">
      <c r="B5" s="8"/>
      <c r="C5" s="8"/>
      <c r="D5" s="25" t="s">
        <v>42</v>
      </c>
      <c r="E5" s="25" t="s">
        <v>5</v>
      </c>
      <c r="F5" s="25" t="s">
        <v>32</v>
      </c>
      <c r="G5" s="25"/>
      <c r="H5" s="25" t="s">
        <v>42</v>
      </c>
    </row>
    <row r="6" spans="1:8" x14ac:dyDescent="0.4">
      <c r="B6" s="8"/>
      <c r="C6" s="8"/>
      <c r="D6" s="25" t="s">
        <v>43</v>
      </c>
      <c r="E6" s="25" t="s">
        <v>98</v>
      </c>
      <c r="F6" s="25" t="s">
        <v>31</v>
      </c>
      <c r="G6" s="25" t="s">
        <v>22</v>
      </c>
      <c r="H6" s="25" t="s">
        <v>17</v>
      </c>
    </row>
    <row r="7" spans="1:8" x14ac:dyDescent="0.4">
      <c r="B7" s="8"/>
      <c r="C7" s="8"/>
      <c r="D7" s="25" t="s">
        <v>44</v>
      </c>
      <c r="E7" s="25" t="s">
        <v>99</v>
      </c>
      <c r="F7" s="25" t="s">
        <v>31</v>
      </c>
      <c r="G7" s="25" t="s">
        <v>22</v>
      </c>
      <c r="H7" s="25" t="s">
        <v>17</v>
      </c>
    </row>
    <row r="8" spans="1:8" x14ac:dyDescent="0.4">
      <c r="B8" s="8"/>
      <c r="C8" s="8"/>
      <c r="D8" s="25" t="s">
        <v>45</v>
      </c>
      <c r="E8" s="25" t="s">
        <v>100</v>
      </c>
      <c r="F8" s="25" t="s">
        <v>31</v>
      </c>
      <c r="G8" s="25" t="s">
        <v>22</v>
      </c>
      <c r="H8" s="25" t="s">
        <v>17</v>
      </c>
    </row>
    <row r="9" spans="1:8" x14ac:dyDescent="0.4">
      <c r="B9" s="8"/>
      <c r="C9" s="8"/>
      <c r="D9" s="25" t="s">
        <v>46</v>
      </c>
      <c r="E9" s="25" t="s">
        <v>6</v>
      </c>
      <c r="F9" s="25" t="s">
        <v>32</v>
      </c>
      <c r="G9" s="25"/>
      <c r="H9" s="25" t="s">
        <v>69</v>
      </c>
    </row>
    <row r="10" spans="1:8" x14ac:dyDescent="0.4">
      <c r="B10" s="8"/>
      <c r="C10" s="8"/>
      <c r="D10" s="25" t="s">
        <v>47</v>
      </c>
      <c r="E10" s="25" t="s">
        <v>7</v>
      </c>
      <c r="F10" s="25" t="s">
        <v>32</v>
      </c>
      <c r="G10" s="25"/>
      <c r="H10" s="25" t="s">
        <v>70</v>
      </c>
    </row>
    <row r="11" spans="1:8" x14ac:dyDescent="0.4">
      <c r="B11" s="8"/>
      <c r="C11" s="8"/>
      <c r="D11" s="25" t="s">
        <v>48</v>
      </c>
      <c r="E11" s="25" t="s">
        <v>8</v>
      </c>
      <c r="F11" s="25" t="s">
        <v>32</v>
      </c>
      <c r="G11" s="25"/>
      <c r="H11" s="25" t="s">
        <v>68</v>
      </c>
    </row>
    <row r="12" spans="1:8" x14ac:dyDescent="0.4">
      <c r="B12" s="8"/>
      <c r="C12" s="8"/>
      <c r="D12" s="25" t="s">
        <v>49</v>
      </c>
      <c r="E12" s="25" t="s">
        <v>9</v>
      </c>
      <c r="F12" s="25" t="s">
        <v>32</v>
      </c>
      <c r="G12" s="25"/>
      <c r="H12" s="25" t="s">
        <v>71</v>
      </c>
    </row>
    <row r="13" spans="1:8" x14ac:dyDescent="0.4">
      <c r="B13" s="8"/>
      <c r="C13" s="8"/>
      <c r="D13" s="25" t="s">
        <v>50</v>
      </c>
      <c r="E13" s="25" t="s">
        <v>10</v>
      </c>
      <c r="F13" s="25" t="s">
        <v>32</v>
      </c>
      <c r="G13" s="25"/>
      <c r="H13" s="25" t="s">
        <v>72</v>
      </c>
    </row>
    <row r="14" spans="1:8" x14ac:dyDescent="0.4">
      <c r="B14" s="8"/>
      <c r="C14" s="8"/>
      <c r="D14" s="25" t="s">
        <v>51</v>
      </c>
      <c r="E14" s="25" t="s">
        <v>11</v>
      </c>
      <c r="F14" s="25" t="s">
        <v>32</v>
      </c>
      <c r="G14" s="25"/>
      <c r="H14" s="25" t="s">
        <v>51</v>
      </c>
    </row>
    <row r="15" spans="1:8" x14ac:dyDescent="0.4">
      <c r="B15" s="8"/>
      <c r="C15" s="8"/>
      <c r="D15" s="25" t="s">
        <v>52</v>
      </c>
      <c r="E15" s="25" t="s">
        <v>12</v>
      </c>
      <c r="F15" s="25" t="s">
        <v>33</v>
      </c>
      <c r="G15" s="25"/>
      <c r="H15" s="25" t="s">
        <v>74</v>
      </c>
    </row>
    <row r="16" spans="1:8" x14ac:dyDescent="0.4">
      <c r="B16" s="8"/>
      <c r="C16" s="8"/>
      <c r="D16" s="25" t="s">
        <v>53</v>
      </c>
      <c r="E16" s="25" t="s">
        <v>13</v>
      </c>
      <c r="F16" s="25" t="s">
        <v>32</v>
      </c>
      <c r="G16" s="25" t="s">
        <v>22</v>
      </c>
      <c r="H16" s="25" t="s">
        <v>21</v>
      </c>
    </row>
    <row r="17" spans="2:8" x14ac:dyDescent="0.4">
      <c r="B17" s="8"/>
      <c r="C17" s="8"/>
      <c r="D17" s="25" t="s">
        <v>54</v>
      </c>
      <c r="E17" s="25" t="s">
        <v>14</v>
      </c>
      <c r="F17" s="25" t="s">
        <v>33</v>
      </c>
      <c r="G17" s="25"/>
      <c r="H17" s="25" t="s">
        <v>73</v>
      </c>
    </row>
    <row r="18" spans="2:8" x14ac:dyDescent="0.4">
      <c r="B18" s="8"/>
      <c r="C18" s="8"/>
      <c r="D18" s="28" t="s">
        <v>55</v>
      </c>
      <c r="E18" s="28" t="s">
        <v>15</v>
      </c>
      <c r="F18" s="28" t="s">
        <v>32</v>
      </c>
      <c r="G18" s="28" t="s">
        <v>22</v>
      </c>
      <c r="H18" s="28" t="s">
        <v>21</v>
      </c>
    </row>
    <row r="19" spans="2:8" x14ac:dyDescent="0.4">
      <c r="B19" s="7" t="s">
        <v>57</v>
      </c>
      <c r="C19" s="7" t="s">
        <v>16</v>
      </c>
      <c r="D19" s="24" t="s">
        <v>56</v>
      </c>
      <c r="E19" s="24" t="s">
        <v>18</v>
      </c>
      <c r="F19" s="24" t="s">
        <v>31</v>
      </c>
      <c r="G19" s="24" t="s">
        <v>3</v>
      </c>
      <c r="H19" s="24" t="s">
        <v>75</v>
      </c>
    </row>
    <row r="20" spans="2:8" x14ac:dyDescent="0.4">
      <c r="B20" s="8"/>
      <c r="C20" s="8"/>
      <c r="D20" s="25" t="s">
        <v>58</v>
      </c>
      <c r="E20" s="25" t="s">
        <v>19</v>
      </c>
      <c r="F20" s="25" t="s">
        <v>31</v>
      </c>
      <c r="G20" s="25" t="s">
        <v>22</v>
      </c>
      <c r="H20" s="25" t="s">
        <v>76</v>
      </c>
    </row>
    <row r="21" spans="2:8" x14ac:dyDescent="0.4">
      <c r="B21" s="8"/>
      <c r="C21" s="8"/>
      <c r="D21" s="25" t="s">
        <v>59</v>
      </c>
      <c r="E21" s="25" t="s">
        <v>20</v>
      </c>
      <c r="F21" s="25" t="s">
        <v>32</v>
      </c>
      <c r="G21" s="25"/>
      <c r="H21" s="25" t="s">
        <v>59</v>
      </c>
    </row>
    <row r="22" spans="2:8" x14ac:dyDescent="0.4">
      <c r="B22" s="8"/>
      <c r="C22" s="8"/>
      <c r="D22" s="25" t="s">
        <v>52</v>
      </c>
      <c r="E22" s="25" t="s">
        <v>12</v>
      </c>
      <c r="F22" s="25" t="s">
        <v>33</v>
      </c>
      <c r="G22" s="25"/>
      <c r="H22" s="25" t="s">
        <v>74</v>
      </c>
    </row>
    <row r="23" spans="2:8" x14ac:dyDescent="0.4">
      <c r="B23" s="8"/>
      <c r="C23" s="8"/>
      <c r="D23" s="25" t="s">
        <v>53</v>
      </c>
      <c r="E23" s="25" t="s">
        <v>13</v>
      </c>
      <c r="F23" s="25" t="s">
        <v>32</v>
      </c>
      <c r="G23" s="25" t="s">
        <v>22</v>
      </c>
      <c r="H23" s="25" t="s">
        <v>21</v>
      </c>
    </row>
    <row r="24" spans="2:8" x14ac:dyDescent="0.4">
      <c r="B24" s="8"/>
      <c r="C24" s="8"/>
      <c r="D24" s="25" t="s">
        <v>54</v>
      </c>
      <c r="E24" s="25" t="s">
        <v>14</v>
      </c>
      <c r="F24" s="25" t="s">
        <v>33</v>
      </c>
      <c r="G24" s="25"/>
      <c r="H24" s="25" t="s">
        <v>73</v>
      </c>
    </row>
    <row r="25" spans="2:8" x14ac:dyDescent="0.4">
      <c r="B25" s="23"/>
      <c r="C25" s="23"/>
      <c r="D25" s="27" t="s">
        <v>55</v>
      </c>
      <c r="E25" s="27" t="s">
        <v>15</v>
      </c>
      <c r="F25" s="27" t="s">
        <v>32</v>
      </c>
      <c r="G25" s="27" t="s">
        <v>22</v>
      </c>
      <c r="H25" s="27" t="s">
        <v>21</v>
      </c>
    </row>
    <row r="26" spans="2:8" x14ac:dyDescent="0.4">
      <c r="B26" s="8" t="s">
        <v>58</v>
      </c>
      <c r="C26" s="8" t="s">
        <v>34</v>
      </c>
      <c r="D26" s="29" t="s">
        <v>60</v>
      </c>
      <c r="E26" s="29" t="s">
        <v>18</v>
      </c>
      <c r="F26" s="29" t="s">
        <v>31</v>
      </c>
      <c r="G26" s="29" t="s">
        <v>3</v>
      </c>
      <c r="H26" s="29" t="s">
        <v>75</v>
      </c>
    </row>
    <row r="27" spans="2:8" x14ac:dyDescent="0.4">
      <c r="B27" s="8"/>
      <c r="C27" s="8"/>
      <c r="D27" s="25" t="s">
        <v>61</v>
      </c>
      <c r="E27" s="25" t="s">
        <v>35</v>
      </c>
      <c r="F27" s="25" t="s">
        <v>32</v>
      </c>
      <c r="G27" s="25"/>
      <c r="H27" s="25" t="s">
        <v>77</v>
      </c>
    </row>
    <row r="28" spans="2:8" x14ac:dyDescent="0.4">
      <c r="B28" s="8"/>
      <c r="C28" s="8"/>
      <c r="D28" s="25" t="s">
        <v>52</v>
      </c>
      <c r="E28" s="25" t="s">
        <v>12</v>
      </c>
      <c r="F28" s="25" t="s">
        <v>33</v>
      </c>
      <c r="G28" s="25"/>
      <c r="H28" s="25" t="s">
        <v>74</v>
      </c>
    </row>
    <row r="29" spans="2:8" x14ac:dyDescent="0.4">
      <c r="B29" s="8"/>
      <c r="C29" s="8"/>
      <c r="D29" s="25" t="s">
        <v>53</v>
      </c>
      <c r="E29" s="25" t="s">
        <v>13</v>
      </c>
      <c r="F29" s="25" t="s">
        <v>32</v>
      </c>
      <c r="G29" s="25" t="s">
        <v>22</v>
      </c>
      <c r="H29" s="25" t="s">
        <v>21</v>
      </c>
    </row>
    <row r="30" spans="2:8" x14ac:dyDescent="0.4">
      <c r="B30" s="8"/>
      <c r="C30" s="8"/>
      <c r="D30" s="25" t="s">
        <v>54</v>
      </c>
      <c r="E30" s="25" t="s">
        <v>14</v>
      </c>
      <c r="F30" s="25" t="s">
        <v>33</v>
      </c>
      <c r="G30" s="25"/>
      <c r="H30" s="25" t="s">
        <v>73</v>
      </c>
    </row>
    <row r="31" spans="2:8" x14ac:dyDescent="0.4">
      <c r="B31" s="8"/>
      <c r="C31" s="8"/>
      <c r="D31" s="28" t="s">
        <v>55</v>
      </c>
      <c r="E31" s="28" t="s">
        <v>15</v>
      </c>
      <c r="F31" s="28" t="s">
        <v>32</v>
      </c>
      <c r="G31" s="28" t="s">
        <v>22</v>
      </c>
      <c r="H31" s="28" t="s">
        <v>21</v>
      </c>
    </row>
    <row r="32" spans="2:8" x14ac:dyDescent="0.4">
      <c r="B32" s="7" t="s">
        <v>63</v>
      </c>
      <c r="C32" s="7" t="s">
        <v>23</v>
      </c>
      <c r="D32" s="30" t="s">
        <v>64</v>
      </c>
      <c r="E32" s="24" t="s">
        <v>18</v>
      </c>
      <c r="F32" s="24" t="s">
        <v>31</v>
      </c>
      <c r="G32" s="24" t="s">
        <v>3</v>
      </c>
      <c r="H32" s="24" t="s">
        <v>75</v>
      </c>
    </row>
    <row r="33" spans="2:8" x14ac:dyDescent="0.4">
      <c r="B33" s="8"/>
      <c r="C33" s="8"/>
      <c r="D33" s="26" t="s">
        <v>62</v>
      </c>
      <c r="E33" s="25" t="s">
        <v>24</v>
      </c>
      <c r="F33" s="25" t="s">
        <v>32</v>
      </c>
      <c r="G33" s="25"/>
      <c r="H33" s="25" t="s">
        <v>62</v>
      </c>
    </row>
    <row r="34" spans="2:8" x14ac:dyDescent="0.4">
      <c r="B34" s="8"/>
      <c r="C34" s="8"/>
      <c r="D34" s="26" t="s">
        <v>65</v>
      </c>
      <c r="E34" s="25" t="s">
        <v>25</v>
      </c>
      <c r="F34" s="25" t="s">
        <v>32</v>
      </c>
      <c r="G34" s="25"/>
      <c r="H34" s="25" t="s">
        <v>79</v>
      </c>
    </row>
    <row r="35" spans="2:8" x14ac:dyDescent="0.4">
      <c r="B35" s="8"/>
      <c r="C35" s="8"/>
      <c r="D35" s="26" t="s">
        <v>66</v>
      </c>
      <c r="E35" s="25" t="s">
        <v>26</v>
      </c>
      <c r="F35" s="25" t="s">
        <v>32</v>
      </c>
      <c r="G35" s="25"/>
      <c r="H35" s="25" t="s">
        <v>78</v>
      </c>
    </row>
    <row r="36" spans="2:8" x14ac:dyDescent="0.4">
      <c r="B36" s="8"/>
      <c r="C36" s="8"/>
      <c r="D36" s="25" t="s">
        <v>52</v>
      </c>
      <c r="E36" s="25" t="s">
        <v>12</v>
      </c>
      <c r="F36" s="25" t="s">
        <v>33</v>
      </c>
      <c r="G36" s="25"/>
      <c r="H36" s="25" t="s">
        <v>74</v>
      </c>
    </row>
    <row r="37" spans="2:8" x14ac:dyDescent="0.4">
      <c r="B37" s="8"/>
      <c r="C37" s="8"/>
      <c r="D37" s="25" t="s">
        <v>53</v>
      </c>
      <c r="E37" s="25" t="s">
        <v>13</v>
      </c>
      <c r="F37" s="25" t="s">
        <v>32</v>
      </c>
      <c r="G37" s="25" t="s">
        <v>22</v>
      </c>
      <c r="H37" s="25" t="s">
        <v>21</v>
      </c>
    </row>
    <row r="38" spans="2:8" x14ac:dyDescent="0.4">
      <c r="B38" s="8"/>
      <c r="C38" s="8"/>
      <c r="D38" s="25" t="s">
        <v>54</v>
      </c>
      <c r="E38" s="25" t="s">
        <v>14</v>
      </c>
      <c r="F38" s="25" t="s">
        <v>33</v>
      </c>
      <c r="G38" s="25"/>
      <c r="H38" s="25" t="s">
        <v>73</v>
      </c>
    </row>
    <row r="39" spans="2:8" x14ac:dyDescent="0.4">
      <c r="B39" s="8"/>
      <c r="C39" s="8"/>
      <c r="D39" s="25" t="s">
        <v>55</v>
      </c>
      <c r="E39" s="25" t="s">
        <v>15</v>
      </c>
      <c r="F39" s="25" t="s">
        <v>32</v>
      </c>
      <c r="G39" s="25" t="s">
        <v>22</v>
      </c>
      <c r="H39" s="25" t="s">
        <v>21</v>
      </c>
    </row>
    <row r="40" spans="2:8" x14ac:dyDescent="0.4">
      <c r="B40" s="23"/>
      <c r="C40" s="23"/>
      <c r="D40" s="27"/>
      <c r="E40" s="27"/>
      <c r="F40" s="27"/>
      <c r="G40" s="27"/>
      <c r="H40" s="27"/>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zoomScale="85" zoomScaleNormal="85" workbookViewId="0">
      <selection activeCell="J26" sqref="J26"/>
    </sheetView>
  </sheetViews>
  <sheetFormatPr defaultColWidth="8.625" defaultRowHeight="18.75" x14ac:dyDescent="0.4"/>
  <cols>
    <col min="1" max="1" width="2.625" style="3" customWidth="1"/>
    <col min="2" max="2" width="14.375" style="2" customWidth="1"/>
    <col min="3" max="3" width="23.125" style="2" bestFit="1" customWidth="1"/>
    <col min="4" max="4" width="11.25" style="2" bestFit="1" customWidth="1"/>
    <col min="5" max="5" width="23.125" style="2" customWidth="1"/>
    <col min="6" max="6" width="15.875" style="3" bestFit="1" customWidth="1"/>
    <col min="7" max="7" width="16.75" style="3" bestFit="1" customWidth="1"/>
    <col min="8" max="8" width="10.125" style="3" bestFit="1" customWidth="1"/>
    <col min="9" max="9" width="34.75" style="3" customWidth="1"/>
    <col min="10" max="11" width="27.625" style="33" bestFit="1" customWidth="1"/>
    <col min="12" max="12" width="14.25" style="3" bestFit="1" customWidth="1"/>
    <col min="13" max="13" width="10.75" style="3" customWidth="1"/>
    <col min="14" max="14" width="8.625" style="3"/>
    <col min="15" max="15" width="15.875" style="3" bestFit="1" customWidth="1"/>
    <col min="16" max="16384" width="8.625" style="3"/>
  </cols>
  <sheetData>
    <row r="1" spans="1:11" s="1" customFormat="1" x14ac:dyDescent="0.4">
      <c r="A1" s="1" t="s">
        <v>83</v>
      </c>
      <c r="C1" s="2"/>
      <c r="D1" s="2"/>
      <c r="E1" s="2"/>
      <c r="J1" s="49"/>
      <c r="K1" s="49"/>
    </row>
    <row r="2" spans="1:11" s="2" customFormat="1" x14ac:dyDescent="0.4">
      <c r="B2" s="4" t="s">
        <v>80</v>
      </c>
      <c r="C2" s="4" t="s">
        <v>82</v>
      </c>
      <c r="D2" s="4" t="s">
        <v>273</v>
      </c>
      <c r="E2" s="4"/>
      <c r="F2" s="4" t="s">
        <v>81</v>
      </c>
      <c r="G2" s="4" t="s">
        <v>37</v>
      </c>
      <c r="H2" s="4" t="s">
        <v>38</v>
      </c>
      <c r="I2" s="4" t="s">
        <v>67</v>
      </c>
      <c r="J2" s="50" t="s">
        <v>286</v>
      </c>
      <c r="K2" s="50" t="s">
        <v>317</v>
      </c>
    </row>
    <row r="3" spans="1:11" x14ac:dyDescent="0.4">
      <c r="B3" s="8" t="s">
        <v>36</v>
      </c>
      <c r="C3" s="8" t="s">
        <v>272</v>
      </c>
      <c r="D3" s="47" t="s">
        <v>274</v>
      </c>
      <c r="E3" s="47" t="s">
        <v>3</v>
      </c>
      <c r="F3" s="24" t="s">
        <v>40</v>
      </c>
      <c r="G3" s="24" t="s">
        <v>18</v>
      </c>
      <c r="H3" s="24" t="s">
        <v>31</v>
      </c>
      <c r="I3" s="24" t="s">
        <v>75</v>
      </c>
      <c r="J3" s="51">
        <v>1</v>
      </c>
      <c r="K3" s="51" t="s">
        <v>318</v>
      </c>
    </row>
    <row r="4" spans="1:11" x14ac:dyDescent="0.4">
      <c r="B4" s="8"/>
      <c r="C4" s="8"/>
      <c r="D4" s="25"/>
      <c r="E4" s="25"/>
      <c r="F4" s="25" t="s">
        <v>41</v>
      </c>
      <c r="G4" s="25" t="s">
        <v>4</v>
      </c>
      <c r="H4" s="25" t="s">
        <v>32</v>
      </c>
      <c r="I4" s="25" t="s">
        <v>41</v>
      </c>
      <c r="J4" s="52" t="s">
        <v>41</v>
      </c>
      <c r="K4" s="52"/>
    </row>
    <row r="5" spans="1:11" x14ac:dyDescent="0.4">
      <c r="B5" s="8"/>
      <c r="C5" s="8"/>
      <c r="D5" s="25"/>
      <c r="E5" s="25"/>
      <c r="F5" s="25" t="s">
        <v>42</v>
      </c>
      <c r="G5" s="25" t="s">
        <v>5</v>
      </c>
      <c r="H5" s="25" t="s">
        <v>32</v>
      </c>
      <c r="I5" s="25" t="s">
        <v>42</v>
      </c>
      <c r="J5" s="52" t="s">
        <v>42</v>
      </c>
      <c r="K5" s="52"/>
    </row>
    <row r="6" spans="1:11" x14ac:dyDescent="0.4">
      <c r="B6" s="8"/>
      <c r="C6" s="8"/>
      <c r="D6" s="46" t="s">
        <v>311</v>
      </c>
      <c r="E6" s="46" t="s">
        <v>3</v>
      </c>
      <c r="F6" s="25" t="s">
        <v>43</v>
      </c>
      <c r="G6" s="25" t="s">
        <v>98</v>
      </c>
      <c r="H6" s="25" t="s">
        <v>31</v>
      </c>
      <c r="I6" s="25" t="s">
        <v>17</v>
      </c>
      <c r="J6" s="52">
        <v>43</v>
      </c>
      <c r="K6" s="52" t="s">
        <v>316</v>
      </c>
    </row>
    <row r="7" spans="1:11" x14ac:dyDescent="0.4">
      <c r="B7" s="8"/>
      <c r="C7" s="8"/>
      <c r="D7" s="46" t="s">
        <v>312</v>
      </c>
      <c r="E7" s="46" t="s">
        <v>3</v>
      </c>
      <c r="F7" s="25" t="s">
        <v>44</v>
      </c>
      <c r="G7" s="25" t="s">
        <v>99</v>
      </c>
      <c r="H7" s="25" t="s">
        <v>31</v>
      </c>
      <c r="I7" s="25" t="s">
        <v>17</v>
      </c>
      <c r="J7" s="52">
        <v>23</v>
      </c>
      <c r="K7" s="52" t="s">
        <v>316</v>
      </c>
    </row>
    <row r="8" spans="1:11" x14ac:dyDescent="0.4">
      <c r="B8" s="8"/>
      <c r="C8" s="8"/>
      <c r="D8" s="46" t="s">
        <v>313</v>
      </c>
      <c r="E8" s="46" t="s">
        <v>3</v>
      </c>
      <c r="F8" s="25" t="s">
        <v>45</v>
      </c>
      <c r="G8" s="25" t="s">
        <v>100</v>
      </c>
      <c r="H8" s="25" t="s">
        <v>31</v>
      </c>
      <c r="I8" s="25" t="s">
        <v>17</v>
      </c>
      <c r="J8" s="52">
        <v>65</v>
      </c>
      <c r="K8" s="52" t="s">
        <v>316</v>
      </c>
    </row>
    <row r="9" spans="1:11" x14ac:dyDescent="0.4">
      <c r="B9" s="8"/>
      <c r="C9" s="8"/>
      <c r="D9" s="25"/>
      <c r="E9" s="25"/>
      <c r="F9" s="25" t="s">
        <v>46</v>
      </c>
      <c r="G9" s="25" t="s">
        <v>6</v>
      </c>
      <c r="H9" s="25" t="s">
        <v>32</v>
      </c>
      <c r="I9" s="25" t="s">
        <v>69</v>
      </c>
      <c r="J9" s="52" t="s">
        <v>287</v>
      </c>
      <c r="K9" s="52"/>
    </row>
    <row r="10" spans="1:11" x14ac:dyDescent="0.4">
      <c r="B10" s="8"/>
      <c r="C10" s="8"/>
      <c r="D10" s="25"/>
      <c r="E10" s="25"/>
      <c r="F10" s="25" t="s">
        <v>47</v>
      </c>
      <c r="G10" s="25" t="s">
        <v>7</v>
      </c>
      <c r="H10" s="25" t="s">
        <v>32</v>
      </c>
      <c r="I10" s="25" t="s">
        <v>70</v>
      </c>
      <c r="J10" s="52" t="s">
        <v>288</v>
      </c>
      <c r="K10" s="52"/>
    </row>
    <row r="11" spans="1:11" x14ac:dyDescent="0.4">
      <c r="B11" s="8"/>
      <c r="C11" s="8"/>
      <c r="D11" s="25"/>
      <c r="E11" s="25"/>
      <c r="F11" s="25" t="s">
        <v>48</v>
      </c>
      <c r="G11" s="25" t="s">
        <v>8</v>
      </c>
      <c r="H11" s="25" t="s">
        <v>32</v>
      </c>
      <c r="I11" s="25" t="s">
        <v>68</v>
      </c>
      <c r="J11" s="52" t="s">
        <v>289</v>
      </c>
      <c r="K11" s="52"/>
    </row>
    <row r="12" spans="1:11" x14ac:dyDescent="0.4">
      <c r="B12" s="8"/>
      <c r="C12" s="8"/>
      <c r="D12" s="25"/>
      <c r="E12" s="25"/>
      <c r="F12" s="25" t="s">
        <v>49</v>
      </c>
      <c r="G12" s="25" t="s">
        <v>9</v>
      </c>
      <c r="H12" s="25" t="s">
        <v>32</v>
      </c>
      <c r="I12" s="25" t="s">
        <v>71</v>
      </c>
      <c r="J12" s="52" t="s">
        <v>290</v>
      </c>
      <c r="K12" s="52"/>
    </row>
    <row r="13" spans="1:11" x14ac:dyDescent="0.4">
      <c r="B13" s="8"/>
      <c r="C13" s="8"/>
      <c r="D13" s="25"/>
      <c r="E13" s="25"/>
      <c r="F13" s="25" t="s">
        <v>50</v>
      </c>
      <c r="G13" s="25" t="s">
        <v>10</v>
      </c>
      <c r="H13" s="25" t="s">
        <v>32</v>
      </c>
      <c r="I13" s="25" t="s">
        <v>72</v>
      </c>
      <c r="J13" s="52" t="s">
        <v>290</v>
      </c>
      <c r="K13" s="52"/>
    </row>
    <row r="14" spans="1:11" x14ac:dyDescent="0.4">
      <c r="B14" s="8"/>
      <c r="C14" s="8"/>
      <c r="D14" s="25"/>
      <c r="E14" s="25"/>
      <c r="F14" s="25" t="s">
        <v>51</v>
      </c>
      <c r="G14" s="25" t="s">
        <v>11</v>
      </c>
      <c r="H14" s="25" t="s">
        <v>32</v>
      </c>
      <c r="I14" s="25" t="s">
        <v>51</v>
      </c>
      <c r="J14" s="52" t="s">
        <v>51</v>
      </c>
      <c r="K14" s="52"/>
    </row>
    <row r="15" spans="1:11" x14ac:dyDescent="0.4">
      <c r="B15" s="8"/>
      <c r="C15" s="8"/>
      <c r="D15" s="25"/>
      <c r="E15" s="25"/>
      <c r="F15" s="25" t="s">
        <v>275</v>
      </c>
      <c r="G15" s="25" t="s">
        <v>276</v>
      </c>
      <c r="H15" s="25" t="s">
        <v>31</v>
      </c>
      <c r="I15" s="25" t="s">
        <v>283</v>
      </c>
      <c r="J15" s="52">
        <v>12</v>
      </c>
      <c r="K15" s="52" t="s">
        <v>318</v>
      </c>
    </row>
    <row r="16" spans="1:11" x14ac:dyDescent="0.4">
      <c r="B16" s="8"/>
      <c r="C16" s="8"/>
      <c r="D16" s="46" t="s">
        <v>314</v>
      </c>
      <c r="E16" s="46" t="s">
        <v>3</v>
      </c>
      <c r="F16" s="25" t="s">
        <v>52</v>
      </c>
      <c r="G16" s="25" t="s">
        <v>12</v>
      </c>
      <c r="H16" s="25" t="s">
        <v>33</v>
      </c>
      <c r="I16" s="25" t="s">
        <v>74</v>
      </c>
      <c r="J16" s="55">
        <v>45241.050393518519</v>
      </c>
      <c r="K16" s="55"/>
    </row>
    <row r="17" spans="2:11" x14ac:dyDescent="0.4">
      <c r="B17" s="8"/>
      <c r="C17" s="8"/>
      <c r="D17" s="25"/>
      <c r="E17" s="25"/>
      <c r="F17" s="25" t="s">
        <v>53</v>
      </c>
      <c r="G17" s="25" t="s">
        <v>13</v>
      </c>
      <c r="H17" s="25" t="s">
        <v>32</v>
      </c>
      <c r="I17" s="25" t="s">
        <v>21</v>
      </c>
      <c r="J17" s="52">
        <v>11</v>
      </c>
      <c r="K17" s="52" t="s">
        <v>319</v>
      </c>
    </row>
    <row r="18" spans="2:11" x14ac:dyDescent="0.4">
      <c r="B18" s="8"/>
      <c r="C18" s="8"/>
      <c r="D18" s="48" t="s">
        <v>274</v>
      </c>
      <c r="E18" s="48" t="s">
        <v>89</v>
      </c>
      <c r="F18" s="28" t="s">
        <v>54</v>
      </c>
      <c r="G18" s="28" t="s">
        <v>14</v>
      </c>
      <c r="H18" s="28" t="s">
        <v>33</v>
      </c>
      <c r="I18" s="28" t="s">
        <v>73</v>
      </c>
      <c r="J18" s="56">
        <v>45241.050393518519</v>
      </c>
      <c r="K18" s="56"/>
    </row>
    <row r="19" spans="2:11" x14ac:dyDescent="0.4">
      <c r="B19" s="8"/>
      <c r="C19" s="8"/>
      <c r="D19" s="46" t="s">
        <v>311</v>
      </c>
      <c r="E19" s="46" t="s">
        <v>89</v>
      </c>
      <c r="F19" s="5"/>
      <c r="G19" s="5"/>
      <c r="H19" s="5"/>
      <c r="I19" s="5"/>
      <c r="J19" s="58"/>
      <c r="K19" s="58"/>
    </row>
    <row r="20" spans="2:11" x14ac:dyDescent="0.4">
      <c r="B20" s="8"/>
      <c r="C20" s="8"/>
      <c r="D20" s="46" t="s">
        <v>312</v>
      </c>
      <c r="E20" s="46" t="s">
        <v>89</v>
      </c>
      <c r="F20" s="5"/>
      <c r="G20" s="5"/>
      <c r="H20" s="5"/>
      <c r="I20" s="5"/>
      <c r="J20" s="58"/>
      <c r="K20" s="58"/>
    </row>
    <row r="21" spans="2:11" x14ac:dyDescent="0.4">
      <c r="B21" s="8"/>
      <c r="C21" s="8"/>
      <c r="D21" s="46" t="s">
        <v>313</v>
      </c>
      <c r="E21" s="46" t="s">
        <v>89</v>
      </c>
      <c r="F21" s="5"/>
      <c r="G21" s="5"/>
      <c r="H21" s="5"/>
      <c r="I21" s="5"/>
      <c r="J21" s="58"/>
      <c r="K21" s="58"/>
    </row>
    <row r="22" spans="2:11" x14ac:dyDescent="0.4">
      <c r="B22" s="8"/>
      <c r="C22" s="8"/>
      <c r="D22" s="46" t="s">
        <v>315</v>
      </c>
      <c r="E22" s="46" t="s">
        <v>3</v>
      </c>
      <c r="F22" s="29"/>
      <c r="G22" s="29"/>
      <c r="H22" s="29"/>
      <c r="I22" s="29"/>
      <c r="J22" s="57"/>
      <c r="K22" s="57"/>
    </row>
    <row r="23" spans="2:11" x14ac:dyDescent="0.4">
      <c r="B23" s="8"/>
      <c r="C23" s="23"/>
      <c r="D23" s="28"/>
      <c r="E23" s="28"/>
      <c r="F23" s="28" t="s">
        <v>55</v>
      </c>
      <c r="G23" s="28" t="s">
        <v>15</v>
      </c>
      <c r="H23" s="28" t="s">
        <v>32</v>
      </c>
      <c r="I23" s="28" t="s">
        <v>21</v>
      </c>
      <c r="J23" s="53">
        <v>2</v>
      </c>
      <c r="K23" s="53" t="s">
        <v>319</v>
      </c>
    </row>
    <row r="24" spans="2:11" x14ac:dyDescent="0.4">
      <c r="B24" s="7" t="s">
        <v>57</v>
      </c>
      <c r="C24" s="8" t="s">
        <v>277</v>
      </c>
      <c r="D24" s="47" t="s">
        <v>274</v>
      </c>
      <c r="E24" s="47" t="s">
        <v>3</v>
      </c>
      <c r="F24" s="24" t="s">
        <v>56</v>
      </c>
      <c r="G24" s="24" t="s">
        <v>18</v>
      </c>
      <c r="H24" s="24" t="s">
        <v>31</v>
      </c>
      <c r="I24" s="24" t="s">
        <v>75</v>
      </c>
      <c r="J24" s="51">
        <v>5</v>
      </c>
      <c r="K24" s="51" t="s">
        <v>318</v>
      </c>
    </row>
    <row r="25" spans="2:11" x14ac:dyDescent="0.4">
      <c r="B25" s="8"/>
      <c r="C25" s="8"/>
      <c r="D25" s="46" t="s">
        <v>311</v>
      </c>
      <c r="E25" s="46" t="s">
        <v>3</v>
      </c>
      <c r="F25" s="25" t="s">
        <v>58</v>
      </c>
      <c r="G25" s="25" t="s">
        <v>19</v>
      </c>
      <c r="H25" s="25" t="s">
        <v>31</v>
      </c>
      <c r="I25" s="25" t="s">
        <v>76</v>
      </c>
      <c r="J25" s="52">
        <v>2</v>
      </c>
      <c r="K25" s="52"/>
    </row>
    <row r="26" spans="2:11" x14ac:dyDescent="0.4">
      <c r="B26" s="8"/>
      <c r="C26" s="8"/>
      <c r="D26" s="25"/>
      <c r="E26" s="25"/>
      <c r="F26" s="25" t="s">
        <v>59</v>
      </c>
      <c r="G26" s="25" t="s">
        <v>20</v>
      </c>
      <c r="H26" s="25" t="s">
        <v>32</v>
      </c>
      <c r="I26" s="25" t="s">
        <v>59</v>
      </c>
      <c r="J26" s="52" t="s">
        <v>310</v>
      </c>
      <c r="K26" s="52"/>
    </row>
    <row r="27" spans="2:11" x14ac:dyDescent="0.4">
      <c r="B27" s="8"/>
      <c r="C27" s="8"/>
      <c r="D27" s="46" t="s">
        <v>312</v>
      </c>
      <c r="E27" s="46" t="s">
        <v>3</v>
      </c>
      <c r="F27" s="25" t="s">
        <v>291</v>
      </c>
      <c r="G27" s="25" t="s">
        <v>292</v>
      </c>
      <c r="H27" s="25" t="s">
        <v>31</v>
      </c>
      <c r="I27" s="25" t="s">
        <v>303</v>
      </c>
      <c r="J27" s="52">
        <v>23</v>
      </c>
      <c r="K27" s="52" t="s">
        <v>318</v>
      </c>
    </row>
    <row r="28" spans="2:11" x14ac:dyDescent="0.4">
      <c r="B28" s="8"/>
      <c r="C28" s="8"/>
      <c r="D28" s="25"/>
      <c r="E28" s="25"/>
      <c r="F28" s="25" t="s">
        <v>52</v>
      </c>
      <c r="G28" s="25" t="s">
        <v>12</v>
      </c>
      <c r="H28" s="25" t="s">
        <v>33</v>
      </c>
      <c r="I28" s="25" t="s">
        <v>74</v>
      </c>
      <c r="J28" s="55">
        <v>45241.050393518519</v>
      </c>
      <c r="K28" s="55"/>
    </row>
    <row r="29" spans="2:11" x14ac:dyDescent="0.4">
      <c r="B29" s="8"/>
      <c r="C29" s="8"/>
      <c r="D29" s="25"/>
      <c r="E29" s="25"/>
      <c r="F29" s="25" t="s">
        <v>53</v>
      </c>
      <c r="G29" s="25" t="s">
        <v>13</v>
      </c>
      <c r="H29" s="25" t="s">
        <v>32</v>
      </c>
      <c r="I29" s="25" t="s">
        <v>21</v>
      </c>
      <c r="J29" s="52">
        <v>9</v>
      </c>
      <c r="K29" s="52" t="s">
        <v>319</v>
      </c>
    </row>
    <row r="30" spans="2:11" x14ac:dyDescent="0.4">
      <c r="B30" s="8"/>
      <c r="C30" s="8"/>
      <c r="D30" s="48" t="s">
        <v>274</v>
      </c>
      <c r="E30" s="48" t="s">
        <v>89</v>
      </c>
      <c r="F30" s="28" t="s">
        <v>54</v>
      </c>
      <c r="G30" s="28" t="s">
        <v>14</v>
      </c>
      <c r="H30" s="28" t="s">
        <v>33</v>
      </c>
      <c r="I30" s="28" t="s">
        <v>73</v>
      </c>
      <c r="J30" s="56">
        <v>45241.050393518519</v>
      </c>
      <c r="K30" s="56"/>
    </row>
    <row r="31" spans="2:11" x14ac:dyDescent="0.4">
      <c r="B31" s="8"/>
      <c r="C31" s="8"/>
      <c r="D31" s="46" t="s">
        <v>311</v>
      </c>
      <c r="E31" s="46" t="s">
        <v>89</v>
      </c>
      <c r="F31" s="5"/>
      <c r="G31" s="5"/>
      <c r="H31" s="5"/>
      <c r="I31" s="5"/>
      <c r="J31" s="58"/>
      <c r="K31" s="58"/>
    </row>
    <row r="32" spans="2:11" x14ac:dyDescent="0.4">
      <c r="B32" s="8"/>
      <c r="C32" s="8"/>
      <c r="D32" s="46" t="s">
        <v>312</v>
      </c>
      <c r="E32" s="46" t="s">
        <v>89</v>
      </c>
      <c r="F32" s="29"/>
      <c r="G32" s="29"/>
      <c r="H32" s="29"/>
      <c r="I32" s="29"/>
      <c r="J32" s="57"/>
      <c r="K32" s="57"/>
    </row>
    <row r="33" spans="2:11" x14ac:dyDescent="0.4">
      <c r="B33" s="23"/>
      <c r="C33" s="23"/>
      <c r="D33" s="28"/>
      <c r="E33" s="28"/>
      <c r="F33" s="27" t="s">
        <v>55</v>
      </c>
      <c r="G33" s="27" t="s">
        <v>15</v>
      </c>
      <c r="H33" s="27" t="s">
        <v>32</v>
      </c>
      <c r="I33" s="27" t="s">
        <v>21</v>
      </c>
      <c r="J33" s="54">
        <v>6</v>
      </c>
      <c r="K33" s="54" t="s">
        <v>319</v>
      </c>
    </row>
    <row r="34" spans="2:11" x14ac:dyDescent="0.4">
      <c r="B34" s="7" t="s">
        <v>63</v>
      </c>
      <c r="C34" s="8" t="s">
        <v>278</v>
      </c>
      <c r="D34" s="47" t="s">
        <v>274</v>
      </c>
      <c r="E34" s="47" t="s">
        <v>3</v>
      </c>
      <c r="F34" s="7" t="s">
        <v>64</v>
      </c>
      <c r="G34" s="61" t="s">
        <v>18</v>
      </c>
      <c r="H34" s="61" t="s">
        <v>31</v>
      </c>
      <c r="I34" s="61" t="s">
        <v>75</v>
      </c>
      <c r="J34" s="62">
        <v>2</v>
      </c>
      <c r="K34" s="62" t="s">
        <v>318</v>
      </c>
    </row>
    <row r="35" spans="2:11" x14ac:dyDescent="0.4">
      <c r="B35" s="8"/>
      <c r="C35" s="8"/>
      <c r="D35" s="46" t="s">
        <v>311</v>
      </c>
      <c r="E35" s="46" t="s">
        <v>89</v>
      </c>
      <c r="F35" s="59"/>
      <c r="G35" s="29"/>
      <c r="H35" s="29"/>
      <c r="I35" s="29"/>
      <c r="J35" s="60"/>
      <c r="K35" s="60"/>
    </row>
    <row r="36" spans="2:11" x14ac:dyDescent="0.4">
      <c r="B36" s="8"/>
      <c r="C36" s="8"/>
      <c r="D36" s="25"/>
      <c r="E36" s="25"/>
      <c r="F36" s="26" t="s">
        <v>62</v>
      </c>
      <c r="G36" s="25" t="s">
        <v>24</v>
      </c>
      <c r="H36" s="25" t="s">
        <v>32</v>
      </c>
      <c r="I36" s="25" t="s">
        <v>62</v>
      </c>
      <c r="J36" s="52" t="s">
        <v>309</v>
      </c>
      <c r="K36" s="52"/>
    </row>
    <row r="37" spans="2:11" x14ac:dyDescent="0.4">
      <c r="B37" s="8"/>
      <c r="C37" s="8"/>
      <c r="D37" s="25"/>
      <c r="E37" s="25"/>
      <c r="F37" s="26" t="s">
        <v>65</v>
      </c>
      <c r="G37" s="25" t="s">
        <v>25</v>
      </c>
      <c r="H37" s="25" t="s">
        <v>32</v>
      </c>
      <c r="I37" s="25" t="s">
        <v>79</v>
      </c>
      <c r="J37" s="52">
        <v>123456</v>
      </c>
      <c r="K37" s="52"/>
    </row>
    <row r="38" spans="2:11" x14ac:dyDescent="0.4">
      <c r="B38" s="8"/>
      <c r="C38" s="8"/>
      <c r="D38" s="25"/>
      <c r="E38" s="25"/>
      <c r="F38" s="26" t="s">
        <v>66</v>
      </c>
      <c r="G38" s="25" t="s">
        <v>26</v>
      </c>
      <c r="H38" s="25" t="s">
        <v>32</v>
      </c>
      <c r="I38" s="25" t="s">
        <v>78</v>
      </c>
      <c r="J38" s="52" t="s">
        <v>308</v>
      </c>
      <c r="K38" s="52"/>
    </row>
    <row r="39" spans="2:11" x14ac:dyDescent="0.4">
      <c r="B39" s="8"/>
      <c r="C39" s="8"/>
      <c r="D39" s="25"/>
      <c r="E39" s="25"/>
      <c r="F39" s="26" t="s">
        <v>279</v>
      </c>
      <c r="G39" s="25" t="s">
        <v>281</v>
      </c>
      <c r="H39" s="25" t="s">
        <v>31</v>
      </c>
      <c r="I39" s="25" t="s">
        <v>284</v>
      </c>
      <c r="J39" s="52">
        <v>4</v>
      </c>
      <c r="K39" s="52" t="s">
        <v>318</v>
      </c>
    </row>
    <row r="40" spans="2:11" x14ac:dyDescent="0.4">
      <c r="B40" s="8"/>
      <c r="C40" s="8"/>
      <c r="D40" s="25"/>
      <c r="E40" s="25"/>
      <c r="F40" s="26" t="s">
        <v>280</v>
      </c>
      <c r="G40" s="25" t="s">
        <v>282</v>
      </c>
      <c r="H40" s="25" t="s">
        <v>31</v>
      </c>
      <c r="I40" s="25" t="s">
        <v>285</v>
      </c>
      <c r="J40" s="52">
        <v>3</v>
      </c>
      <c r="K40" s="52" t="s">
        <v>318</v>
      </c>
    </row>
    <row r="41" spans="2:11" x14ac:dyDescent="0.4">
      <c r="B41" s="8"/>
      <c r="C41" s="8"/>
      <c r="D41" s="46" t="s">
        <v>311</v>
      </c>
      <c r="E41" s="46" t="s">
        <v>3</v>
      </c>
      <c r="F41" s="26" t="s">
        <v>305</v>
      </c>
      <c r="G41" s="25" t="s">
        <v>306</v>
      </c>
      <c r="H41" s="25" t="s">
        <v>31</v>
      </c>
      <c r="I41" s="25" t="s">
        <v>307</v>
      </c>
      <c r="J41" s="52">
        <v>7</v>
      </c>
      <c r="K41" s="52" t="s">
        <v>318</v>
      </c>
    </row>
    <row r="42" spans="2:11" x14ac:dyDescent="0.4">
      <c r="B42" s="8"/>
      <c r="C42" s="8"/>
      <c r="D42" s="25"/>
      <c r="E42" s="25"/>
      <c r="F42" s="25" t="s">
        <v>52</v>
      </c>
      <c r="G42" s="25" t="s">
        <v>12</v>
      </c>
      <c r="H42" s="25" t="s">
        <v>33</v>
      </c>
      <c r="I42" s="25" t="s">
        <v>74</v>
      </c>
      <c r="J42" s="55">
        <v>45241.050393518519</v>
      </c>
      <c r="K42" s="55"/>
    </row>
    <row r="43" spans="2:11" x14ac:dyDescent="0.4">
      <c r="B43" s="8"/>
      <c r="C43" s="8"/>
      <c r="D43" s="25"/>
      <c r="E43" s="25"/>
      <c r="F43" s="25" t="s">
        <v>53</v>
      </c>
      <c r="G43" s="25" t="s">
        <v>13</v>
      </c>
      <c r="H43" s="25" t="s">
        <v>32</v>
      </c>
      <c r="I43" s="25" t="s">
        <v>21</v>
      </c>
      <c r="J43" s="52">
        <v>1</v>
      </c>
      <c r="K43" s="52" t="s">
        <v>319</v>
      </c>
    </row>
    <row r="44" spans="2:11" x14ac:dyDescent="0.4">
      <c r="B44" s="8"/>
      <c r="C44" s="8"/>
      <c r="D44" s="48" t="s">
        <v>274</v>
      </c>
      <c r="E44" s="48" t="s">
        <v>89</v>
      </c>
      <c r="F44" s="25" t="s">
        <v>54</v>
      </c>
      <c r="G44" s="25" t="s">
        <v>14</v>
      </c>
      <c r="H44" s="25" t="s">
        <v>33</v>
      </c>
      <c r="I44" s="25" t="s">
        <v>73</v>
      </c>
      <c r="J44" s="55">
        <v>45241.050393518519</v>
      </c>
      <c r="K44" s="55"/>
    </row>
    <row r="45" spans="2:11" x14ac:dyDescent="0.4">
      <c r="B45" s="23"/>
      <c r="C45" s="23"/>
      <c r="D45" s="27"/>
      <c r="E45" s="27"/>
      <c r="F45" s="27" t="s">
        <v>55</v>
      </c>
      <c r="G45" s="27" t="s">
        <v>15</v>
      </c>
      <c r="H45" s="27" t="s">
        <v>32</v>
      </c>
      <c r="I45" s="27" t="s">
        <v>21</v>
      </c>
      <c r="J45" s="54">
        <v>2</v>
      </c>
      <c r="K45" s="54" t="s">
        <v>319</v>
      </c>
    </row>
    <row r="46" spans="2:11" x14ac:dyDescent="0.4">
      <c r="B46" s="8" t="s">
        <v>293</v>
      </c>
      <c r="C46" s="8" t="s">
        <v>294</v>
      </c>
      <c r="D46" s="47" t="s">
        <v>274</v>
      </c>
      <c r="E46" s="47" t="s">
        <v>3</v>
      </c>
      <c r="F46" s="5" t="s">
        <v>295</v>
      </c>
      <c r="G46" s="5" t="s">
        <v>18</v>
      </c>
      <c r="H46" s="5" t="s">
        <v>31</v>
      </c>
      <c r="I46" s="24" t="s">
        <v>75</v>
      </c>
      <c r="J46" s="34">
        <v>5</v>
      </c>
      <c r="K46" s="51" t="s">
        <v>318</v>
      </c>
    </row>
    <row r="47" spans="2:11" x14ac:dyDescent="0.4">
      <c r="B47" s="8"/>
      <c r="C47" s="8"/>
      <c r="D47" s="25"/>
      <c r="E47" s="25"/>
      <c r="F47" s="28" t="s">
        <v>296</v>
      </c>
      <c r="G47" s="28" t="s">
        <v>297</v>
      </c>
      <c r="H47" s="28" t="s">
        <v>32</v>
      </c>
      <c r="I47" s="28" t="s">
        <v>298</v>
      </c>
      <c r="J47" s="53" t="s">
        <v>310</v>
      </c>
      <c r="K47" s="53"/>
    </row>
    <row r="48" spans="2:11" x14ac:dyDescent="0.4">
      <c r="B48" s="8"/>
      <c r="C48" s="8"/>
      <c r="D48" s="48" t="s">
        <v>274</v>
      </c>
      <c r="E48" s="48" t="s">
        <v>89</v>
      </c>
      <c r="F48" s="25" t="s">
        <v>291</v>
      </c>
      <c r="G48" s="25" t="s">
        <v>292</v>
      </c>
      <c r="H48" s="25" t="s">
        <v>31</v>
      </c>
      <c r="I48" s="25" t="s">
        <v>303</v>
      </c>
      <c r="J48" s="52">
        <v>23</v>
      </c>
      <c r="K48" s="52" t="s">
        <v>318</v>
      </c>
    </row>
    <row r="49" spans="2:11" x14ac:dyDescent="0.4">
      <c r="B49" s="8"/>
      <c r="C49" s="8"/>
      <c r="D49" s="25"/>
      <c r="E49" s="25"/>
      <c r="F49" s="25" t="s">
        <v>299</v>
      </c>
      <c r="G49" s="25" t="s">
        <v>301</v>
      </c>
      <c r="H49" s="25" t="s">
        <v>33</v>
      </c>
      <c r="I49" s="25" t="s">
        <v>304</v>
      </c>
      <c r="J49" s="55">
        <v>45241.050393518519</v>
      </c>
      <c r="K49" s="55"/>
    </row>
    <row r="50" spans="2:11" x14ac:dyDescent="0.4">
      <c r="B50" s="8"/>
      <c r="C50" s="8"/>
      <c r="D50" s="25"/>
      <c r="E50" s="25"/>
      <c r="F50" s="25" t="s">
        <v>300</v>
      </c>
      <c r="G50" s="25" t="s">
        <v>302</v>
      </c>
      <c r="H50" s="25" t="s">
        <v>32</v>
      </c>
      <c r="I50" s="25" t="s">
        <v>21</v>
      </c>
      <c r="J50" s="52">
        <v>3</v>
      </c>
      <c r="K50" s="52" t="s">
        <v>319</v>
      </c>
    </row>
    <row r="51" spans="2:11" x14ac:dyDescent="0.4">
      <c r="B51" s="8"/>
      <c r="C51" s="8"/>
      <c r="D51" s="25"/>
      <c r="E51" s="25"/>
      <c r="F51" s="28"/>
      <c r="G51" s="28"/>
      <c r="H51" s="28"/>
      <c r="I51" s="28"/>
      <c r="J51" s="53"/>
      <c r="K51" s="53"/>
    </row>
    <row r="52" spans="2:11" x14ac:dyDescent="0.4">
      <c r="B52" s="8"/>
      <c r="C52" s="8"/>
      <c r="D52" s="25"/>
      <c r="E52" s="25"/>
      <c r="F52" s="28"/>
      <c r="G52" s="28"/>
      <c r="H52" s="28"/>
      <c r="I52" s="28"/>
      <c r="J52" s="53"/>
      <c r="K52" s="53"/>
    </row>
    <row r="53" spans="2:11" x14ac:dyDescent="0.4">
      <c r="B53" s="8"/>
      <c r="C53" s="8"/>
      <c r="D53" s="25"/>
      <c r="E53" s="25"/>
      <c r="F53" s="28"/>
      <c r="G53" s="28"/>
      <c r="H53" s="28"/>
      <c r="I53" s="28"/>
      <c r="J53" s="53"/>
      <c r="K53" s="53"/>
    </row>
    <row r="54" spans="2:11" x14ac:dyDescent="0.4">
      <c r="B54" s="8"/>
      <c r="C54" s="8"/>
      <c r="D54" s="25"/>
      <c r="E54" s="25"/>
      <c r="F54" s="28"/>
      <c r="G54" s="28"/>
      <c r="H54" s="28"/>
      <c r="I54" s="28"/>
      <c r="J54" s="53"/>
      <c r="K54" s="53"/>
    </row>
    <row r="55" spans="2:11" x14ac:dyDescent="0.4">
      <c r="B55" s="23"/>
      <c r="C55" s="23"/>
      <c r="D55" s="23"/>
      <c r="E55" s="23"/>
      <c r="F55" s="27"/>
      <c r="G55" s="27"/>
      <c r="H55" s="27"/>
      <c r="I55" s="27"/>
      <c r="J55" s="54"/>
      <c r="K55" s="54"/>
    </row>
  </sheetData>
  <phoneticPr fontId="1"/>
  <hyperlinks>
    <hyperlink ref="J11" r:id="rId1"/>
    <hyperlink ref="J12" r:id="rId2"/>
    <hyperlink ref="J13" r:id="rId3"/>
    <hyperlink ref="J38" r:id="rId4"/>
  </hyperlinks>
  <pageMargins left="0.7" right="0.7" top="0.75" bottom="0.75" header="0.3" footer="0.3"/>
  <pageSetup paperSize="9" orientation="portrait"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4"/>
  <sheetViews>
    <sheetView tabSelected="1" topLeftCell="J1" zoomScale="85" zoomScaleNormal="85" workbookViewId="0">
      <selection activeCell="W33" sqref="W33"/>
    </sheetView>
  </sheetViews>
  <sheetFormatPr defaultColWidth="8.625" defaultRowHeight="18.75" x14ac:dyDescent="0.4"/>
  <cols>
    <col min="1" max="1" width="17.875" style="33" bestFit="1" customWidth="1"/>
    <col min="2" max="2" width="10.5" style="63" bestFit="1" customWidth="1"/>
    <col min="3" max="3" width="9.75" style="63" bestFit="1" customWidth="1"/>
    <col min="4" max="4" width="18.125" style="63" bestFit="1" customWidth="1"/>
    <col min="5" max="5" width="10" style="63" customWidth="1"/>
    <col min="6" max="6" width="10.625" style="63" bestFit="1" customWidth="1"/>
    <col min="7" max="8" width="10.625" style="33" bestFit="1" customWidth="1"/>
    <col min="9" max="9" width="7.625" style="33" bestFit="1" customWidth="1"/>
    <col min="10" max="10" width="8" style="33" bestFit="1" customWidth="1"/>
    <col min="11" max="11" width="13.375" style="33" bestFit="1" customWidth="1"/>
    <col min="12" max="12" width="14.25" style="33" bestFit="1" customWidth="1"/>
    <col min="13" max="13" width="14" style="33" bestFit="1" customWidth="1"/>
    <col min="14" max="14" width="12.25" style="33" bestFit="1" customWidth="1"/>
    <col min="15" max="15" width="12.625" style="33" bestFit="1" customWidth="1"/>
    <col min="16" max="16" width="5.375" style="33" bestFit="1" customWidth="1"/>
    <col min="17" max="17" width="9.125" style="33" bestFit="1" customWidth="1"/>
    <col min="18" max="18" width="10.625" style="33" bestFit="1" customWidth="1"/>
    <col min="19" max="19" width="9.875" style="33" bestFit="1" customWidth="1"/>
    <col min="20" max="20" width="13.625" style="33" bestFit="1" customWidth="1"/>
    <col min="21" max="21" width="9.875" style="33" bestFit="1" customWidth="1"/>
    <col min="22" max="22" width="11.125" style="33" bestFit="1" customWidth="1"/>
    <col min="23" max="23" width="16.875" style="33" bestFit="1" customWidth="1"/>
    <col min="24" max="24" width="16.25" style="33" bestFit="1" customWidth="1"/>
    <col min="25" max="26" width="9.875" style="33" customWidth="1"/>
    <col min="27" max="27" width="9" style="33" bestFit="1" customWidth="1"/>
    <col min="28" max="28" width="22" style="33" bestFit="1" customWidth="1"/>
    <col min="29" max="29" width="11" style="33" bestFit="1" customWidth="1"/>
    <col min="30" max="30" width="22" style="33" bestFit="1" customWidth="1"/>
    <col min="31" max="31" width="11.75" style="33" bestFit="1" customWidth="1"/>
    <col min="32" max="32" width="3.875" style="33" customWidth="1"/>
    <col min="33" max="16384" width="8.625" style="33"/>
  </cols>
  <sheetData>
    <row r="1" spans="1:32" s="49" customFormat="1" x14ac:dyDescent="0.4">
      <c r="A1" s="49" t="s">
        <v>83</v>
      </c>
      <c r="C1" s="63"/>
      <c r="D1" s="63"/>
      <c r="F1" s="63"/>
    </row>
    <row r="2" spans="1:32" s="66" customFormat="1" x14ac:dyDescent="0.4">
      <c r="B2" s="117" t="s">
        <v>440</v>
      </c>
      <c r="C2" s="118"/>
      <c r="D2" s="118"/>
      <c r="E2" s="119"/>
      <c r="F2" s="111" t="s">
        <v>441</v>
      </c>
      <c r="G2" s="112"/>
      <c r="H2" s="112"/>
      <c r="I2" s="112"/>
      <c r="J2" s="112"/>
      <c r="K2" s="112"/>
      <c r="L2" s="112"/>
      <c r="M2" s="112"/>
      <c r="N2" s="112"/>
      <c r="O2" s="112"/>
      <c r="P2" s="112"/>
      <c r="Q2" s="112"/>
      <c r="R2" s="113" t="s">
        <v>442</v>
      </c>
      <c r="S2" s="114"/>
      <c r="T2" s="114"/>
      <c r="U2" s="114"/>
      <c r="V2" s="115" t="s">
        <v>443</v>
      </c>
      <c r="W2" s="116"/>
      <c r="X2" s="116"/>
      <c r="Y2" s="116"/>
      <c r="Z2" s="116"/>
      <c r="AA2" s="116"/>
      <c r="AB2" s="117" t="s">
        <v>440</v>
      </c>
      <c r="AC2" s="118"/>
      <c r="AD2" s="118"/>
      <c r="AE2" s="119"/>
    </row>
    <row r="3" spans="1:32" s="65" customFormat="1" x14ac:dyDescent="0.4">
      <c r="A3" s="66" t="s">
        <v>320</v>
      </c>
      <c r="B3" s="99" t="s">
        <v>321</v>
      </c>
      <c r="C3" s="90" t="s">
        <v>322</v>
      </c>
      <c r="D3" s="90"/>
      <c r="E3" s="90"/>
      <c r="F3" s="100"/>
      <c r="G3" s="100"/>
      <c r="H3" s="100"/>
      <c r="I3" s="100"/>
      <c r="J3" s="100"/>
      <c r="K3" s="100"/>
      <c r="L3" s="100"/>
      <c r="M3" s="100"/>
      <c r="N3" s="100"/>
      <c r="O3" s="100"/>
      <c r="P3" s="100"/>
      <c r="Q3" s="100"/>
      <c r="R3" s="101"/>
      <c r="S3" s="101"/>
      <c r="T3" s="101"/>
      <c r="U3" s="101"/>
      <c r="V3" s="102"/>
      <c r="W3" s="102"/>
      <c r="X3" s="102"/>
      <c r="Y3" s="102"/>
      <c r="Z3" s="102"/>
      <c r="AA3" s="102"/>
      <c r="AB3" s="99"/>
      <c r="AC3" s="99"/>
      <c r="AD3" s="99"/>
      <c r="AE3" s="99"/>
      <c r="AF3" s="103"/>
    </row>
    <row r="4" spans="1:32" s="88" customFormat="1" x14ac:dyDescent="0.4">
      <c r="A4" s="66" t="s">
        <v>190</v>
      </c>
      <c r="B4" s="94"/>
      <c r="C4" s="94"/>
      <c r="D4" s="94" t="s">
        <v>332</v>
      </c>
      <c r="E4" s="94"/>
      <c r="F4" s="109"/>
      <c r="G4" s="109"/>
      <c r="H4" s="109"/>
      <c r="I4" s="95"/>
      <c r="J4" s="95"/>
      <c r="K4" s="95"/>
      <c r="L4" s="95"/>
      <c r="M4" s="95"/>
      <c r="N4" s="95"/>
      <c r="O4" s="95"/>
      <c r="P4" s="95"/>
      <c r="Q4" s="95" t="s">
        <v>482</v>
      </c>
      <c r="R4" s="110"/>
      <c r="S4" s="96"/>
      <c r="T4" s="96"/>
      <c r="U4" s="96" t="s">
        <v>483</v>
      </c>
      <c r="V4" s="97"/>
      <c r="W4" s="97"/>
      <c r="X4" s="97"/>
      <c r="Y4" s="97"/>
      <c r="Z4" s="97"/>
      <c r="AA4" s="97" t="s">
        <v>484</v>
      </c>
      <c r="AB4" s="93"/>
      <c r="AC4" s="93"/>
      <c r="AD4" s="94"/>
      <c r="AE4" s="94"/>
      <c r="AF4" s="98"/>
    </row>
    <row r="5" spans="1:32" s="88" customFormat="1" x14ac:dyDescent="0.4">
      <c r="A5" s="66" t="s">
        <v>102</v>
      </c>
      <c r="B5" s="94"/>
      <c r="C5" s="94" t="s">
        <v>384</v>
      </c>
      <c r="D5" s="94"/>
      <c r="E5" s="94"/>
      <c r="F5" s="109" t="s">
        <v>433</v>
      </c>
      <c r="G5" s="109" t="s">
        <v>473</v>
      </c>
      <c r="H5" s="109" t="s">
        <v>474</v>
      </c>
      <c r="I5" s="95"/>
      <c r="J5" s="95"/>
      <c r="K5" s="95"/>
      <c r="L5" s="95"/>
      <c r="M5" s="95"/>
      <c r="N5" s="95"/>
      <c r="O5" s="95"/>
      <c r="P5" s="95"/>
      <c r="Q5" s="95"/>
      <c r="R5" s="110" t="s">
        <v>381</v>
      </c>
      <c r="S5" s="96"/>
      <c r="T5" s="96"/>
      <c r="U5" s="96"/>
      <c r="V5" s="97"/>
      <c r="W5" s="97"/>
      <c r="X5" s="97"/>
      <c r="Y5" s="97"/>
      <c r="Z5" s="97"/>
      <c r="AA5" s="97"/>
      <c r="AB5" s="93" t="s">
        <v>481</v>
      </c>
      <c r="AC5" s="93" t="s">
        <v>480</v>
      </c>
      <c r="AD5" s="93" t="s">
        <v>486</v>
      </c>
      <c r="AE5" s="93" t="s">
        <v>487</v>
      </c>
      <c r="AF5" s="98"/>
    </row>
    <row r="6" spans="1:32" s="63" customFormat="1" x14ac:dyDescent="0.4">
      <c r="A6" s="63" t="s">
        <v>417</v>
      </c>
      <c r="B6" s="91">
        <v>1</v>
      </c>
      <c r="C6" s="91">
        <v>2</v>
      </c>
      <c r="D6" s="91">
        <v>3</v>
      </c>
      <c r="E6" s="91"/>
      <c r="F6" s="86">
        <v>4</v>
      </c>
      <c r="G6" s="86">
        <v>5</v>
      </c>
      <c r="H6" s="86">
        <v>6</v>
      </c>
      <c r="I6" s="86">
        <v>7</v>
      </c>
      <c r="J6" s="86">
        <v>8</v>
      </c>
      <c r="K6" s="86">
        <v>9</v>
      </c>
      <c r="L6" s="86">
        <v>10</v>
      </c>
      <c r="M6" s="86">
        <v>11</v>
      </c>
      <c r="N6" s="86">
        <v>12</v>
      </c>
      <c r="O6" s="86">
        <v>13</v>
      </c>
      <c r="P6" s="86">
        <v>14</v>
      </c>
      <c r="Q6" s="86">
        <v>15</v>
      </c>
      <c r="R6" s="81">
        <v>16</v>
      </c>
      <c r="S6" s="81">
        <v>17</v>
      </c>
      <c r="T6" s="81">
        <v>18</v>
      </c>
      <c r="U6" s="81">
        <v>19</v>
      </c>
      <c r="V6" s="79">
        <v>20</v>
      </c>
      <c r="W6" s="79">
        <v>21</v>
      </c>
      <c r="X6" s="79">
        <v>22</v>
      </c>
      <c r="Y6" s="79">
        <v>23</v>
      </c>
      <c r="Z6" s="79">
        <v>24</v>
      </c>
      <c r="AA6" s="79">
        <v>25</v>
      </c>
      <c r="AB6" s="83">
        <v>26</v>
      </c>
      <c r="AC6" s="83">
        <v>27</v>
      </c>
      <c r="AD6" s="83">
        <v>28</v>
      </c>
      <c r="AE6" s="83">
        <v>29</v>
      </c>
      <c r="AF6" s="72"/>
    </row>
    <row r="7" spans="1:32" s="63" customFormat="1" x14ac:dyDescent="0.4">
      <c r="A7" s="63" t="s">
        <v>418</v>
      </c>
      <c r="B7" s="91" t="s">
        <v>3</v>
      </c>
      <c r="C7" s="91" t="s">
        <v>89</v>
      </c>
      <c r="D7" s="91" t="s">
        <v>556</v>
      </c>
      <c r="E7" s="91" t="s">
        <v>571</v>
      </c>
      <c r="F7" s="86" t="s">
        <v>341</v>
      </c>
      <c r="G7" s="86" t="s">
        <v>565</v>
      </c>
      <c r="H7" s="86" t="s">
        <v>567</v>
      </c>
      <c r="I7" s="86" t="s">
        <v>4</v>
      </c>
      <c r="J7" s="86" t="s">
        <v>344</v>
      </c>
      <c r="K7" s="86" t="s">
        <v>6</v>
      </c>
      <c r="L7" s="86" t="s">
        <v>7</v>
      </c>
      <c r="M7" s="86" t="s">
        <v>8</v>
      </c>
      <c r="N7" s="86" t="s">
        <v>9</v>
      </c>
      <c r="O7" s="86" t="s">
        <v>10</v>
      </c>
      <c r="P7" s="86" t="s">
        <v>11</v>
      </c>
      <c r="Q7" s="86" t="s">
        <v>354</v>
      </c>
      <c r="R7" s="81" t="s">
        <v>563</v>
      </c>
      <c r="S7" s="81" t="s">
        <v>561</v>
      </c>
      <c r="T7" s="81" t="s">
        <v>558</v>
      </c>
      <c r="U7" s="81" t="s">
        <v>485</v>
      </c>
      <c r="V7" s="79" t="s">
        <v>570</v>
      </c>
      <c r="W7" s="79" t="s">
        <v>575</v>
      </c>
      <c r="X7" s="79" t="s">
        <v>562</v>
      </c>
      <c r="Y7" s="79" t="s">
        <v>412</v>
      </c>
      <c r="Z7" s="79" t="s">
        <v>413</v>
      </c>
      <c r="AA7" s="79" t="s">
        <v>414</v>
      </c>
      <c r="AB7" s="83" t="s">
        <v>568</v>
      </c>
      <c r="AC7" s="83" t="s">
        <v>569</v>
      </c>
      <c r="AD7" s="83" t="s">
        <v>566</v>
      </c>
      <c r="AE7" s="83" t="s">
        <v>15</v>
      </c>
      <c r="AF7" s="72"/>
    </row>
    <row r="8" spans="1:32" s="63" customFormat="1" x14ac:dyDescent="0.4">
      <c r="A8" s="63" t="s">
        <v>426</v>
      </c>
      <c r="B8" s="91" t="s">
        <v>385</v>
      </c>
      <c r="C8" s="91" t="s">
        <v>393</v>
      </c>
      <c r="D8" s="91" t="s">
        <v>385</v>
      </c>
      <c r="E8" s="91" t="s">
        <v>573</v>
      </c>
      <c r="F8" s="86" t="s">
        <v>564</v>
      </c>
      <c r="G8" s="86" t="s">
        <v>564</v>
      </c>
      <c r="H8" s="86" t="s">
        <v>564</v>
      </c>
      <c r="I8" s="86" t="s">
        <v>385</v>
      </c>
      <c r="J8" s="86" t="s">
        <v>385</v>
      </c>
      <c r="K8" s="86" t="s">
        <v>385</v>
      </c>
      <c r="L8" s="86" t="s">
        <v>385</v>
      </c>
      <c r="M8" s="86" t="s">
        <v>385</v>
      </c>
      <c r="N8" s="86" t="s">
        <v>385</v>
      </c>
      <c r="O8" s="86" t="s">
        <v>385</v>
      </c>
      <c r="P8" s="86" t="s">
        <v>385</v>
      </c>
      <c r="Q8" s="86" t="s">
        <v>564</v>
      </c>
      <c r="R8" s="81" t="s">
        <v>564</v>
      </c>
      <c r="S8" s="81" t="s">
        <v>385</v>
      </c>
      <c r="T8" s="81" t="s">
        <v>385</v>
      </c>
      <c r="U8" s="81" t="s">
        <v>564</v>
      </c>
      <c r="V8" s="78" t="s">
        <v>385</v>
      </c>
      <c r="W8" s="78" t="s">
        <v>385</v>
      </c>
      <c r="X8" s="78" t="s">
        <v>411</v>
      </c>
      <c r="Y8" s="78" t="s">
        <v>564</v>
      </c>
      <c r="Z8" s="78" t="s">
        <v>564</v>
      </c>
      <c r="AA8" s="78" t="s">
        <v>564</v>
      </c>
      <c r="AB8" s="83" t="s">
        <v>420</v>
      </c>
      <c r="AC8" s="83" t="s">
        <v>393</v>
      </c>
      <c r="AD8" s="83" t="s">
        <v>420</v>
      </c>
      <c r="AE8" s="83" t="s">
        <v>393</v>
      </c>
      <c r="AF8" s="72"/>
    </row>
    <row r="9" spans="1:32" s="64" customFormat="1" ht="15.75" x14ac:dyDescent="0.4">
      <c r="A9" s="64" t="s">
        <v>419</v>
      </c>
      <c r="B9" s="92" t="s">
        <v>3</v>
      </c>
      <c r="C9" s="92" t="s">
        <v>89</v>
      </c>
      <c r="D9" s="92" t="s">
        <v>557</v>
      </c>
      <c r="E9" s="92"/>
      <c r="F9" s="87" t="s">
        <v>43</v>
      </c>
      <c r="G9" s="87" t="s">
        <v>44</v>
      </c>
      <c r="H9" s="87" t="s">
        <v>45</v>
      </c>
      <c r="I9" s="87" t="s">
        <v>41</v>
      </c>
      <c r="J9" s="87" t="s">
        <v>42</v>
      </c>
      <c r="K9" s="87" t="s">
        <v>46</v>
      </c>
      <c r="L9" s="87" t="s">
        <v>47</v>
      </c>
      <c r="M9" s="87" t="s">
        <v>48</v>
      </c>
      <c r="N9" s="87" t="s">
        <v>49</v>
      </c>
      <c r="O9" s="87" t="s">
        <v>50</v>
      </c>
      <c r="P9" s="87" t="s">
        <v>51</v>
      </c>
      <c r="Q9" s="87" t="s">
        <v>275</v>
      </c>
      <c r="R9" s="82" t="s">
        <v>58</v>
      </c>
      <c r="S9" s="82" t="s">
        <v>59</v>
      </c>
      <c r="T9" s="82" t="s">
        <v>559</v>
      </c>
      <c r="U9" s="82" t="s">
        <v>291</v>
      </c>
      <c r="V9" s="80" t="s">
        <v>62</v>
      </c>
      <c r="W9" s="80" t="s">
        <v>576</v>
      </c>
      <c r="X9" s="80" t="s">
        <v>416</v>
      </c>
      <c r="Y9" s="80" t="s">
        <v>279</v>
      </c>
      <c r="Z9" s="80" t="s">
        <v>280</v>
      </c>
      <c r="AA9" s="80" t="s">
        <v>305</v>
      </c>
      <c r="AB9" s="85" t="s">
        <v>52</v>
      </c>
      <c r="AC9" s="85" t="s">
        <v>53</v>
      </c>
      <c r="AD9" s="85" t="s">
        <v>54</v>
      </c>
      <c r="AE9" s="85" t="s">
        <v>55</v>
      </c>
      <c r="AF9" s="77"/>
    </row>
    <row r="10" spans="1:32" s="63" customFormat="1" x14ac:dyDescent="0.4">
      <c r="B10" s="67" t="s">
        <v>496</v>
      </c>
      <c r="C10" s="76">
        <v>0</v>
      </c>
      <c r="D10" s="72" t="s">
        <v>572</v>
      </c>
      <c r="E10" s="76">
        <v>12</v>
      </c>
      <c r="F10" s="76" t="s">
        <v>91</v>
      </c>
      <c r="G10" s="76" t="s">
        <v>91</v>
      </c>
      <c r="H10" s="76" t="s">
        <v>91</v>
      </c>
      <c r="I10" s="76" t="s">
        <v>91</v>
      </c>
      <c r="J10" s="76" t="s">
        <v>91</v>
      </c>
      <c r="K10" s="76" t="s">
        <v>91</v>
      </c>
      <c r="L10" s="76" t="s">
        <v>91</v>
      </c>
      <c r="M10" s="76" t="s">
        <v>91</v>
      </c>
      <c r="N10" s="76" t="s">
        <v>91</v>
      </c>
      <c r="O10" s="76" t="s">
        <v>91</v>
      </c>
      <c r="P10" s="76" t="s">
        <v>91</v>
      </c>
      <c r="Q10" s="76" t="s">
        <v>91</v>
      </c>
      <c r="R10" s="76" t="s">
        <v>91</v>
      </c>
      <c r="S10" s="76" t="s">
        <v>91</v>
      </c>
      <c r="T10" s="76"/>
      <c r="U10" s="76" t="s">
        <v>91</v>
      </c>
      <c r="V10" s="76" t="s">
        <v>91</v>
      </c>
      <c r="W10" s="76" t="s">
        <v>91</v>
      </c>
      <c r="X10" s="72" t="s">
        <v>91</v>
      </c>
      <c r="Y10" s="72" t="s">
        <v>91</v>
      </c>
      <c r="Z10" s="72" t="s">
        <v>91</v>
      </c>
      <c r="AA10" s="76" t="s">
        <v>91</v>
      </c>
      <c r="AB10" s="76" t="s">
        <v>91</v>
      </c>
      <c r="AC10" s="76" t="s">
        <v>91</v>
      </c>
      <c r="AD10" s="76" t="s">
        <v>91</v>
      </c>
      <c r="AE10" s="76" t="s">
        <v>91</v>
      </c>
      <c r="AF10" s="76"/>
    </row>
    <row r="11" spans="1:32" s="63" customFormat="1" x14ac:dyDescent="0.4">
      <c r="B11" s="68" t="s">
        <v>574</v>
      </c>
      <c r="C11" s="89">
        <v>1</v>
      </c>
      <c r="D11" s="72" t="s">
        <v>497</v>
      </c>
      <c r="E11" s="72" t="s">
        <v>91</v>
      </c>
      <c r="F11" s="72">
        <v>22</v>
      </c>
      <c r="G11" s="72">
        <v>43</v>
      </c>
      <c r="H11" s="72">
        <v>9</v>
      </c>
      <c r="I11" s="72" t="s">
        <v>357</v>
      </c>
      <c r="J11" s="72" t="s">
        <v>358</v>
      </c>
      <c r="K11" s="72" t="s">
        <v>363</v>
      </c>
      <c r="L11" s="72" t="s">
        <v>364</v>
      </c>
      <c r="M11" s="72" t="s">
        <v>365</v>
      </c>
      <c r="N11" s="72" t="s">
        <v>365</v>
      </c>
      <c r="O11" s="72" t="s">
        <v>365</v>
      </c>
      <c r="P11" s="72" t="s">
        <v>356</v>
      </c>
      <c r="Q11" s="76" t="s">
        <v>91</v>
      </c>
      <c r="R11" s="72" t="s">
        <v>91</v>
      </c>
      <c r="S11" s="72" t="s">
        <v>91</v>
      </c>
      <c r="T11" s="72"/>
      <c r="U11" s="72" t="s">
        <v>91</v>
      </c>
      <c r="V11" s="72" t="s">
        <v>91</v>
      </c>
      <c r="W11" s="72" t="s">
        <v>91</v>
      </c>
      <c r="X11" s="72" t="s">
        <v>91</v>
      </c>
      <c r="Y11" s="72" t="s">
        <v>91</v>
      </c>
      <c r="Z11" s="72" t="s">
        <v>91</v>
      </c>
      <c r="AA11" s="72" t="s">
        <v>91</v>
      </c>
      <c r="AB11" s="72" t="s">
        <v>366</v>
      </c>
      <c r="AC11" s="72">
        <v>111</v>
      </c>
      <c r="AD11" s="72" t="s">
        <v>366</v>
      </c>
      <c r="AE11" s="72">
        <v>222</v>
      </c>
      <c r="AF11" s="72"/>
    </row>
    <row r="12" spans="1:32" s="63" customFormat="1" x14ac:dyDescent="0.4">
      <c r="B12" s="68" t="s">
        <v>494</v>
      </c>
      <c r="C12" s="76"/>
      <c r="D12" s="72" t="s">
        <v>497</v>
      </c>
      <c r="E12" s="72" t="s">
        <v>91</v>
      </c>
      <c r="F12" s="72" t="s">
        <v>91</v>
      </c>
      <c r="G12" s="72" t="s">
        <v>91</v>
      </c>
      <c r="H12" s="72" t="s">
        <v>91</v>
      </c>
      <c r="I12" s="72" t="s">
        <v>357</v>
      </c>
      <c r="J12" s="72" t="s">
        <v>91</v>
      </c>
      <c r="K12" s="72" t="s">
        <v>91</v>
      </c>
      <c r="L12" s="72" t="s">
        <v>91</v>
      </c>
      <c r="M12" s="72" t="s">
        <v>91</v>
      </c>
      <c r="N12" s="72" t="s">
        <v>91</v>
      </c>
      <c r="O12" s="72" t="s">
        <v>91</v>
      </c>
      <c r="P12" s="72" t="s">
        <v>91</v>
      </c>
      <c r="Q12" s="76">
        <v>2</v>
      </c>
      <c r="R12" s="72" t="s">
        <v>91</v>
      </c>
      <c r="S12" s="72" t="s">
        <v>91</v>
      </c>
      <c r="T12" s="72"/>
      <c r="U12" s="72" t="s">
        <v>91</v>
      </c>
      <c r="V12" s="72" t="s">
        <v>91</v>
      </c>
      <c r="W12" s="72" t="s">
        <v>91</v>
      </c>
      <c r="X12" s="72" t="s">
        <v>91</v>
      </c>
      <c r="Y12" s="72" t="s">
        <v>91</v>
      </c>
      <c r="Z12" s="72" t="s">
        <v>91</v>
      </c>
      <c r="AA12" s="72" t="s">
        <v>91</v>
      </c>
      <c r="AB12" s="72" t="s">
        <v>91</v>
      </c>
      <c r="AC12" s="72" t="s">
        <v>91</v>
      </c>
      <c r="AD12" s="72" t="s">
        <v>91</v>
      </c>
      <c r="AE12" s="72" t="s">
        <v>91</v>
      </c>
      <c r="AF12" s="72"/>
    </row>
    <row r="13" spans="1:32" s="63" customFormat="1" x14ac:dyDescent="0.4">
      <c r="B13" s="68" t="s">
        <v>493</v>
      </c>
      <c r="C13" s="89">
        <v>2</v>
      </c>
      <c r="D13" s="72" t="s">
        <v>498</v>
      </c>
      <c r="E13" s="72" t="s">
        <v>91</v>
      </c>
      <c r="F13" s="72">
        <v>31</v>
      </c>
      <c r="G13" s="72">
        <v>2</v>
      </c>
      <c r="H13" s="72">
        <v>56</v>
      </c>
      <c r="I13" s="72" t="s">
        <v>359</v>
      </c>
      <c r="J13" s="72" t="s">
        <v>360</v>
      </c>
      <c r="K13" s="72" t="s">
        <v>367</v>
      </c>
      <c r="L13" s="72" t="s">
        <v>368</v>
      </c>
      <c r="M13" s="72" t="s">
        <v>369</v>
      </c>
      <c r="N13" s="72" t="s">
        <v>369</v>
      </c>
      <c r="O13" s="72" t="s">
        <v>369</v>
      </c>
      <c r="P13" s="72" t="s">
        <v>370</v>
      </c>
      <c r="Q13" s="76" t="s">
        <v>91</v>
      </c>
      <c r="R13" s="72" t="s">
        <v>91</v>
      </c>
      <c r="S13" s="72" t="s">
        <v>91</v>
      </c>
      <c r="T13" s="72"/>
      <c r="U13" s="72" t="s">
        <v>91</v>
      </c>
      <c r="V13" s="72" t="s">
        <v>91</v>
      </c>
      <c r="W13" s="72" t="s">
        <v>91</v>
      </c>
      <c r="X13" s="72" t="s">
        <v>91</v>
      </c>
      <c r="Y13" s="72" t="s">
        <v>91</v>
      </c>
      <c r="Z13" s="72" t="s">
        <v>91</v>
      </c>
      <c r="AA13" s="72" t="s">
        <v>91</v>
      </c>
      <c r="AB13" s="72" t="s">
        <v>366</v>
      </c>
      <c r="AC13" s="72">
        <v>111</v>
      </c>
      <c r="AD13" s="72" t="s">
        <v>366</v>
      </c>
      <c r="AE13" s="72">
        <v>222</v>
      </c>
      <c r="AF13" s="72"/>
    </row>
    <row r="14" spans="1:32" s="63" customFormat="1" x14ac:dyDescent="0.4">
      <c r="B14" s="68" t="s">
        <v>494</v>
      </c>
      <c r="C14" s="76"/>
      <c r="D14" s="72" t="s">
        <v>498</v>
      </c>
      <c r="E14" s="72" t="s">
        <v>91</v>
      </c>
      <c r="F14" s="72" t="s">
        <v>91</v>
      </c>
      <c r="G14" s="72" t="s">
        <v>91</v>
      </c>
      <c r="H14" s="72" t="s">
        <v>91</v>
      </c>
      <c r="I14" s="72" t="s">
        <v>359</v>
      </c>
      <c r="J14" s="72" t="s">
        <v>91</v>
      </c>
      <c r="K14" s="72" t="s">
        <v>91</v>
      </c>
      <c r="L14" s="72" t="s">
        <v>91</v>
      </c>
      <c r="M14" s="72" t="s">
        <v>91</v>
      </c>
      <c r="N14" s="72" t="s">
        <v>91</v>
      </c>
      <c r="O14" s="72" t="s">
        <v>91</v>
      </c>
      <c r="P14" s="72" t="s">
        <v>91</v>
      </c>
      <c r="Q14" s="76">
        <v>12</v>
      </c>
      <c r="R14" s="72" t="s">
        <v>91</v>
      </c>
      <c r="S14" s="72" t="s">
        <v>91</v>
      </c>
      <c r="T14" s="72"/>
      <c r="U14" s="72" t="s">
        <v>91</v>
      </c>
      <c r="V14" s="72" t="s">
        <v>91</v>
      </c>
      <c r="W14" s="72" t="s">
        <v>91</v>
      </c>
      <c r="X14" s="72" t="s">
        <v>91</v>
      </c>
      <c r="Y14" s="72" t="s">
        <v>91</v>
      </c>
      <c r="Z14" s="72" t="s">
        <v>91</v>
      </c>
      <c r="AA14" s="72" t="s">
        <v>91</v>
      </c>
      <c r="AB14" s="72" t="s">
        <v>91</v>
      </c>
      <c r="AC14" s="72" t="s">
        <v>91</v>
      </c>
      <c r="AD14" s="72" t="s">
        <v>91</v>
      </c>
      <c r="AE14" s="72" t="s">
        <v>91</v>
      </c>
      <c r="AF14" s="72"/>
    </row>
    <row r="15" spans="1:32" s="63" customFormat="1" x14ac:dyDescent="0.4">
      <c r="B15" s="68" t="s">
        <v>493</v>
      </c>
      <c r="C15" s="89">
        <v>3</v>
      </c>
      <c r="D15" s="73" t="s">
        <v>499</v>
      </c>
      <c r="E15" s="72" t="s">
        <v>91</v>
      </c>
      <c r="F15" s="73">
        <v>0</v>
      </c>
      <c r="G15" s="73">
        <v>0</v>
      </c>
      <c r="H15" s="73">
        <v>0</v>
      </c>
      <c r="I15" s="72" t="s">
        <v>387</v>
      </c>
      <c r="J15" s="72" t="s">
        <v>388</v>
      </c>
      <c r="K15" s="72" t="s">
        <v>389</v>
      </c>
      <c r="L15" s="72" t="s">
        <v>390</v>
      </c>
      <c r="M15" s="72" t="s">
        <v>391</v>
      </c>
      <c r="N15" s="72" t="s">
        <v>391</v>
      </c>
      <c r="O15" s="72" t="s">
        <v>391</v>
      </c>
      <c r="P15" s="72" t="s">
        <v>392</v>
      </c>
      <c r="Q15" s="76" t="s">
        <v>91</v>
      </c>
      <c r="R15" s="72" t="s">
        <v>91</v>
      </c>
      <c r="S15" s="72" t="s">
        <v>91</v>
      </c>
      <c r="T15" s="72"/>
      <c r="U15" s="72" t="s">
        <v>91</v>
      </c>
      <c r="V15" s="72" t="s">
        <v>91</v>
      </c>
      <c r="W15" s="72" t="s">
        <v>91</v>
      </c>
      <c r="X15" s="72" t="s">
        <v>91</v>
      </c>
      <c r="Y15" s="72" t="s">
        <v>91</v>
      </c>
      <c r="Z15" s="72" t="s">
        <v>91</v>
      </c>
      <c r="AA15" s="72" t="s">
        <v>91</v>
      </c>
      <c r="AB15" s="74" t="s">
        <v>366</v>
      </c>
      <c r="AC15" s="74">
        <v>111</v>
      </c>
      <c r="AD15" s="73" t="s">
        <v>397</v>
      </c>
      <c r="AE15" s="73">
        <v>333</v>
      </c>
      <c r="AF15" s="72"/>
    </row>
    <row r="16" spans="1:32" s="63" customFormat="1" x14ac:dyDescent="0.4">
      <c r="B16" s="68" t="s">
        <v>494</v>
      </c>
      <c r="C16" s="76"/>
      <c r="D16" s="73" t="s">
        <v>499</v>
      </c>
      <c r="E16" s="72" t="s">
        <v>91</v>
      </c>
      <c r="F16" s="72" t="s">
        <v>91</v>
      </c>
      <c r="G16" s="72" t="s">
        <v>91</v>
      </c>
      <c r="H16" s="72" t="s">
        <v>91</v>
      </c>
      <c r="I16" s="72" t="s">
        <v>387</v>
      </c>
      <c r="J16" s="72" t="s">
        <v>91</v>
      </c>
      <c r="K16" s="72" t="s">
        <v>91</v>
      </c>
      <c r="L16" s="72" t="s">
        <v>91</v>
      </c>
      <c r="M16" s="72" t="s">
        <v>91</v>
      </c>
      <c r="N16" s="72" t="s">
        <v>91</v>
      </c>
      <c r="O16" s="72" t="s">
        <v>91</v>
      </c>
      <c r="P16" s="72" t="s">
        <v>91</v>
      </c>
      <c r="Q16" s="73">
        <v>0</v>
      </c>
      <c r="R16" s="72" t="s">
        <v>91</v>
      </c>
      <c r="S16" s="72" t="s">
        <v>91</v>
      </c>
      <c r="T16" s="72"/>
      <c r="U16" s="72" t="s">
        <v>91</v>
      </c>
      <c r="V16" s="72" t="s">
        <v>91</v>
      </c>
      <c r="W16" s="72" t="s">
        <v>91</v>
      </c>
      <c r="X16" s="72" t="s">
        <v>91</v>
      </c>
      <c r="Y16" s="72" t="s">
        <v>91</v>
      </c>
      <c r="Z16" s="72" t="s">
        <v>91</v>
      </c>
      <c r="AA16" s="72" t="s">
        <v>91</v>
      </c>
      <c r="AB16" s="72" t="s">
        <v>91</v>
      </c>
      <c r="AC16" s="72" t="s">
        <v>91</v>
      </c>
      <c r="AD16" s="72" t="s">
        <v>91</v>
      </c>
      <c r="AE16" s="72" t="s">
        <v>91</v>
      </c>
      <c r="AF16" s="72"/>
    </row>
    <row r="17" spans="2:32" s="63" customFormat="1" x14ac:dyDescent="0.4">
      <c r="B17" s="70"/>
      <c r="C17" s="89" t="s">
        <v>361</v>
      </c>
      <c r="D17" s="75"/>
      <c r="E17" s="75"/>
      <c r="F17" s="89"/>
      <c r="G17" s="89"/>
      <c r="H17" s="89"/>
      <c r="I17" s="89"/>
      <c r="J17" s="89"/>
      <c r="K17" s="89"/>
      <c r="L17" s="89"/>
      <c r="M17" s="89"/>
      <c r="N17" s="89"/>
      <c r="O17" s="89"/>
      <c r="P17" s="89"/>
      <c r="Q17" s="89"/>
      <c r="R17" s="89"/>
      <c r="S17" s="89"/>
      <c r="T17" s="89"/>
      <c r="U17" s="89"/>
      <c r="V17" s="89"/>
      <c r="W17" s="89"/>
      <c r="X17" s="75"/>
      <c r="Y17" s="75"/>
      <c r="Z17" s="75"/>
      <c r="AA17" s="89"/>
      <c r="AB17" s="89"/>
      <c r="AC17" s="89"/>
      <c r="AD17" s="89"/>
      <c r="AE17" s="89"/>
      <c r="AF17" s="89"/>
    </row>
    <row r="18" spans="2:32" s="63" customFormat="1" x14ac:dyDescent="0.4">
      <c r="B18" s="67" t="s">
        <v>495</v>
      </c>
      <c r="C18" s="71">
        <v>0</v>
      </c>
      <c r="D18" s="72" t="s">
        <v>572</v>
      </c>
      <c r="E18" s="76">
        <v>3</v>
      </c>
      <c r="F18" s="71" t="s">
        <v>91</v>
      </c>
      <c r="G18" s="71" t="s">
        <v>91</v>
      </c>
      <c r="H18" s="71" t="s">
        <v>91</v>
      </c>
      <c r="I18" s="71" t="s">
        <v>91</v>
      </c>
      <c r="J18" s="71" t="s">
        <v>91</v>
      </c>
      <c r="K18" s="71" t="s">
        <v>91</v>
      </c>
      <c r="L18" s="71" t="s">
        <v>91</v>
      </c>
      <c r="M18" s="71" t="s">
        <v>91</v>
      </c>
      <c r="N18" s="71" t="s">
        <v>91</v>
      </c>
      <c r="O18" s="71" t="s">
        <v>91</v>
      </c>
      <c r="P18" s="71" t="s">
        <v>91</v>
      </c>
      <c r="Q18" s="71" t="s">
        <v>91</v>
      </c>
      <c r="R18" s="71" t="s">
        <v>91</v>
      </c>
      <c r="S18" s="71" t="s">
        <v>91</v>
      </c>
      <c r="T18" s="71"/>
      <c r="U18" s="71" t="s">
        <v>91</v>
      </c>
      <c r="V18" s="71" t="s">
        <v>91</v>
      </c>
      <c r="W18" s="71" t="s">
        <v>91</v>
      </c>
      <c r="X18" s="76" t="s">
        <v>91</v>
      </c>
      <c r="Y18" s="76" t="s">
        <v>91</v>
      </c>
      <c r="Z18" s="76" t="s">
        <v>91</v>
      </c>
      <c r="AA18" s="71" t="s">
        <v>91</v>
      </c>
      <c r="AB18" s="71" t="s">
        <v>91</v>
      </c>
      <c r="AC18" s="71" t="s">
        <v>91</v>
      </c>
      <c r="AD18" s="71" t="s">
        <v>91</v>
      </c>
      <c r="AE18" s="71" t="s">
        <v>91</v>
      </c>
      <c r="AF18" s="71"/>
    </row>
    <row r="19" spans="2:32" s="63" customFormat="1" x14ac:dyDescent="0.4">
      <c r="B19" s="68" t="s">
        <v>488</v>
      </c>
      <c r="C19" s="89">
        <v>1</v>
      </c>
      <c r="D19" s="72" t="s">
        <v>497</v>
      </c>
      <c r="E19" s="72" t="s">
        <v>91</v>
      </c>
      <c r="F19" s="72" t="s">
        <v>91</v>
      </c>
      <c r="G19" s="72" t="s">
        <v>91</v>
      </c>
      <c r="H19" s="72" t="s">
        <v>91</v>
      </c>
      <c r="I19" s="72" t="s">
        <v>91</v>
      </c>
      <c r="J19" s="72" t="s">
        <v>91</v>
      </c>
      <c r="K19" s="72" t="s">
        <v>91</v>
      </c>
      <c r="L19" s="72" t="s">
        <v>91</v>
      </c>
      <c r="M19" s="72" t="s">
        <v>91</v>
      </c>
      <c r="N19" s="72" t="s">
        <v>91</v>
      </c>
      <c r="O19" s="72" t="s">
        <v>91</v>
      </c>
      <c r="P19" s="72" t="s">
        <v>91</v>
      </c>
      <c r="Q19" s="72" t="s">
        <v>91</v>
      </c>
      <c r="R19" s="72">
        <v>1</v>
      </c>
      <c r="S19" s="72" t="s">
        <v>560</v>
      </c>
      <c r="T19" s="72" t="s">
        <v>91</v>
      </c>
      <c r="U19" s="72" t="s">
        <v>91</v>
      </c>
      <c r="V19" s="72" t="s">
        <v>91</v>
      </c>
      <c r="W19" s="72" t="s">
        <v>91</v>
      </c>
      <c r="X19" s="72" t="s">
        <v>91</v>
      </c>
      <c r="Y19" s="72" t="s">
        <v>91</v>
      </c>
      <c r="Z19" s="72" t="s">
        <v>91</v>
      </c>
      <c r="AA19" s="72" t="s">
        <v>91</v>
      </c>
      <c r="AB19" s="72" t="s">
        <v>366</v>
      </c>
      <c r="AC19" s="72">
        <v>111</v>
      </c>
      <c r="AD19" s="72" t="s">
        <v>366</v>
      </c>
      <c r="AE19" s="72">
        <v>222</v>
      </c>
      <c r="AF19" s="72"/>
    </row>
    <row r="20" spans="2:32" s="63" customFormat="1" x14ac:dyDescent="0.4">
      <c r="B20" s="68" t="s">
        <v>489</v>
      </c>
      <c r="C20" s="76"/>
      <c r="D20" s="72" t="s">
        <v>497</v>
      </c>
      <c r="E20" s="72" t="s">
        <v>91</v>
      </c>
      <c r="F20" s="72" t="s">
        <v>91</v>
      </c>
      <c r="G20" s="72" t="s">
        <v>91</v>
      </c>
      <c r="H20" s="72" t="s">
        <v>91</v>
      </c>
      <c r="I20" s="72" t="s">
        <v>91</v>
      </c>
      <c r="J20" s="72" t="s">
        <v>91</v>
      </c>
      <c r="K20" s="72" t="s">
        <v>91</v>
      </c>
      <c r="L20" s="72" t="s">
        <v>91</v>
      </c>
      <c r="M20" s="72" t="s">
        <v>91</v>
      </c>
      <c r="N20" s="72" t="s">
        <v>91</v>
      </c>
      <c r="O20" s="72" t="s">
        <v>91</v>
      </c>
      <c r="P20" s="72" t="s">
        <v>91</v>
      </c>
      <c r="Q20" s="72" t="s">
        <v>91</v>
      </c>
      <c r="R20" s="72">
        <v>1</v>
      </c>
      <c r="S20" s="72" t="s">
        <v>560</v>
      </c>
      <c r="T20" s="72" t="s">
        <v>91</v>
      </c>
      <c r="U20" s="72">
        <v>9</v>
      </c>
      <c r="V20" s="72" t="s">
        <v>91</v>
      </c>
      <c r="W20" s="72" t="s">
        <v>91</v>
      </c>
      <c r="X20" s="72" t="s">
        <v>91</v>
      </c>
      <c r="Y20" s="72" t="s">
        <v>91</v>
      </c>
      <c r="Z20" s="72" t="s">
        <v>91</v>
      </c>
      <c r="AA20" s="72" t="s">
        <v>91</v>
      </c>
      <c r="AB20" s="72" t="s">
        <v>91</v>
      </c>
      <c r="AC20" s="72" t="s">
        <v>91</v>
      </c>
      <c r="AD20" s="72" t="s">
        <v>91</v>
      </c>
      <c r="AE20" s="72" t="s">
        <v>91</v>
      </c>
      <c r="AF20" s="72"/>
    </row>
    <row r="21" spans="2:32" s="63" customFormat="1" x14ac:dyDescent="0.4">
      <c r="B21" s="68" t="s">
        <v>488</v>
      </c>
      <c r="C21" s="89">
        <v>2</v>
      </c>
      <c r="D21" s="72" t="s">
        <v>498</v>
      </c>
      <c r="E21" s="72" t="s">
        <v>91</v>
      </c>
      <c r="F21" s="72" t="s">
        <v>91</v>
      </c>
      <c r="G21" s="72" t="s">
        <v>91</v>
      </c>
      <c r="H21" s="72" t="s">
        <v>91</v>
      </c>
      <c r="I21" s="72" t="s">
        <v>91</v>
      </c>
      <c r="J21" s="72" t="s">
        <v>91</v>
      </c>
      <c r="K21" s="72" t="s">
        <v>91</v>
      </c>
      <c r="L21" s="72" t="s">
        <v>91</v>
      </c>
      <c r="M21" s="72" t="s">
        <v>91</v>
      </c>
      <c r="N21" s="72" t="s">
        <v>91</v>
      </c>
      <c r="O21" s="72" t="s">
        <v>91</v>
      </c>
      <c r="P21" s="72" t="s">
        <v>91</v>
      </c>
      <c r="Q21" s="72" t="s">
        <v>91</v>
      </c>
      <c r="R21" s="72">
        <v>2</v>
      </c>
      <c r="S21" s="72" t="s">
        <v>379</v>
      </c>
      <c r="T21" s="72">
        <v>1</v>
      </c>
      <c r="U21" s="72" t="s">
        <v>91</v>
      </c>
      <c r="V21" s="72" t="s">
        <v>91</v>
      </c>
      <c r="W21" s="72" t="s">
        <v>91</v>
      </c>
      <c r="X21" s="72" t="s">
        <v>91</v>
      </c>
      <c r="Y21" s="72" t="s">
        <v>91</v>
      </c>
      <c r="Z21" s="72" t="s">
        <v>91</v>
      </c>
      <c r="AA21" s="72" t="s">
        <v>91</v>
      </c>
      <c r="AB21" s="72" t="s">
        <v>366</v>
      </c>
      <c r="AC21" s="72">
        <v>111</v>
      </c>
      <c r="AD21" s="72" t="s">
        <v>366</v>
      </c>
      <c r="AE21" s="72">
        <v>222</v>
      </c>
      <c r="AF21" s="72"/>
    </row>
    <row r="22" spans="2:32" s="63" customFormat="1" x14ac:dyDescent="0.4">
      <c r="B22" s="68" t="s">
        <v>489</v>
      </c>
      <c r="C22" s="76"/>
      <c r="D22" s="72" t="s">
        <v>498</v>
      </c>
      <c r="E22" s="72" t="s">
        <v>91</v>
      </c>
      <c r="F22" s="72" t="s">
        <v>91</v>
      </c>
      <c r="G22" s="72" t="s">
        <v>91</v>
      </c>
      <c r="H22" s="72" t="s">
        <v>91</v>
      </c>
      <c r="I22" s="72" t="s">
        <v>91</v>
      </c>
      <c r="J22" s="72" t="s">
        <v>91</v>
      </c>
      <c r="K22" s="72" t="s">
        <v>91</v>
      </c>
      <c r="L22" s="72" t="s">
        <v>91</v>
      </c>
      <c r="M22" s="72" t="s">
        <v>91</v>
      </c>
      <c r="N22" s="72" t="s">
        <v>91</v>
      </c>
      <c r="O22" s="72" t="s">
        <v>91</v>
      </c>
      <c r="P22" s="72" t="s">
        <v>91</v>
      </c>
      <c r="Q22" s="72" t="s">
        <v>91</v>
      </c>
      <c r="R22" s="72">
        <v>2</v>
      </c>
      <c r="S22" s="72" t="s">
        <v>379</v>
      </c>
      <c r="T22" s="72">
        <v>1</v>
      </c>
      <c r="U22" s="72">
        <v>21</v>
      </c>
      <c r="V22" s="72" t="s">
        <v>91</v>
      </c>
      <c r="W22" s="72" t="s">
        <v>91</v>
      </c>
      <c r="X22" s="72" t="s">
        <v>91</v>
      </c>
      <c r="Y22" s="72" t="s">
        <v>91</v>
      </c>
      <c r="Z22" s="72" t="s">
        <v>91</v>
      </c>
      <c r="AA22" s="72" t="s">
        <v>91</v>
      </c>
      <c r="AB22" s="72" t="s">
        <v>91</v>
      </c>
      <c r="AC22" s="72" t="s">
        <v>91</v>
      </c>
      <c r="AD22" s="72" t="s">
        <v>91</v>
      </c>
      <c r="AE22" s="72" t="s">
        <v>91</v>
      </c>
      <c r="AF22" s="72"/>
    </row>
    <row r="23" spans="2:32" s="63" customFormat="1" x14ac:dyDescent="0.4">
      <c r="B23" s="68" t="s">
        <v>488</v>
      </c>
      <c r="C23" s="89">
        <v>3</v>
      </c>
      <c r="D23" s="73" t="s">
        <v>499</v>
      </c>
      <c r="E23" s="72" t="s">
        <v>91</v>
      </c>
      <c r="F23" s="72" t="s">
        <v>91</v>
      </c>
      <c r="G23" s="72" t="s">
        <v>91</v>
      </c>
      <c r="H23" s="72" t="s">
        <v>91</v>
      </c>
      <c r="I23" s="72" t="s">
        <v>91</v>
      </c>
      <c r="J23" s="72" t="s">
        <v>91</v>
      </c>
      <c r="K23" s="72" t="s">
        <v>91</v>
      </c>
      <c r="L23" s="72" t="s">
        <v>91</v>
      </c>
      <c r="M23" s="72" t="s">
        <v>91</v>
      </c>
      <c r="N23" s="72" t="s">
        <v>91</v>
      </c>
      <c r="O23" s="72" t="s">
        <v>91</v>
      </c>
      <c r="P23" s="72" t="s">
        <v>91</v>
      </c>
      <c r="Q23" s="72" t="s">
        <v>91</v>
      </c>
      <c r="R23" s="74">
        <v>3</v>
      </c>
      <c r="S23" s="72" t="s">
        <v>431</v>
      </c>
      <c r="T23" s="72">
        <v>1</v>
      </c>
      <c r="U23" s="72" t="s">
        <v>91</v>
      </c>
      <c r="V23" s="72" t="s">
        <v>91</v>
      </c>
      <c r="W23" s="72" t="s">
        <v>91</v>
      </c>
      <c r="X23" s="72" t="s">
        <v>91</v>
      </c>
      <c r="Y23" s="72" t="s">
        <v>91</v>
      </c>
      <c r="Z23" s="72" t="s">
        <v>91</v>
      </c>
      <c r="AA23" s="72" t="s">
        <v>91</v>
      </c>
      <c r="AB23" s="72" t="s">
        <v>366</v>
      </c>
      <c r="AC23" s="72">
        <v>111</v>
      </c>
      <c r="AD23" s="73" t="s">
        <v>397</v>
      </c>
      <c r="AE23" s="73">
        <v>333</v>
      </c>
      <c r="AF23" s="72"/>
    </row>
    <row r="24" spans="2:32" s="63" customFormat="1" x14ac:dyDescent="0.4">
      <c r="B24" s="68" t="s">
        <v>489</v>
      </c>
      <c r="C24" s="76"/>
      <c r="D24" s="73" t="s">
        <v>499</v>
      </c>
      <c r="E24" s="72" t="s">
        <v>91</v>
      </c>
      <c r="F24" s="72" t="s">
        <v>91</v>
      </c>
      <c r="G24" s="72" t="s">
        <v>91</v>
      </c>
      <c r="H24" s="72" t="s">
        <v>91</v>
      </c>
      <c r="I24" s="72" t="s">
        <v>91</v>
      </c>
      <c r="J24" s="72" t="s">
        <v>91</v>
      </c>
      <c r="K24" s="72" t="s">
        <v>91</v>
      </c>
      <c r="L24" s="72" t="s">
        <v>91</v>
      </c>
      <c r="M24" s="72" t="s">
        <v>91</v>
      </c>
      <c r="N24" s="72" t="s">
        <v>91</v>
      </c>
      <c r="O24" s="72" t="s">
        <v>91</v>
      </c>
      <c r="P24" s="72" t="s">
        <v>91</v>
      </c>
      <c r="Q24" s="72" t="s">
        <v>91</v>
      </c>
      <c r="R24" s="73">
        <v>0</v>
      </c>
      <c r="S24" s="72" t="s">
        <v>431</v>
      </c>
      <c r="T24" s="72">
        <v>1</v>
      </c>
      <c r="U24" s="73">
        <v>0</v>
      </c>
      <c r="V24" s="72" t="s">
        <v>91</v>
      </c>
      <c r="W24" s="72" t="s">
        <v>91</v>
      </c>
      <c r="X24" s="72" t="s">
        <v>91</v>
      </c>
      <c r="Y24" s="72" t="s">
        <v>91</v>
      </c>
      <c r="Z24" s="72" t="s">
        <v>91</v>
      </c>
      <c r="AA24" s="72" t="s">
        <v>91</v>
      </c>
      <c r="AB24" s="72" t="s">
        <v>91</v>
      </c>
      <c r="AC24" s="72" t="s">
        <v>91</v>
      </c>
      <c r="AD24" s="72" t="s">
        <v>91</v>
      </c>
      <c r="AE24" s="72" t="s">
        <v>91</v>
      </c>
      <c r="AF24" s="72"/>
    </row>
    <row r="25" spans="2:32" s="63" customFormat="1" x14ac:dyDescent="0.4">
      <c r="B25" s="70"/>
      <c r="C25" s="75" t="s">
        <v>361</v>
      </c>
      <c r="D25" s="70"/>
      <c r="E25" s="70"/>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row>
    <row r="26" spans="2:32" s="63" customFormat="1" x14ac:dyDescent="0.4">
      <c r="B26" s="67" t="s">
        <v>492</v>
      </c>
      <c r="C26" s="76">
        <v>0</v>
      </c>
      <c r="D26" s="72" t="s">
        <v>572</v>
      </c>
      <c r="E26" s="76">
        <v>27</v>
      </c>
      <c r="F26" s="76" t="s">
        <v>91</v>
      </c>
      <c r="G26" s="76" t="s">
        <v>91</v>
      </c>
      <c r="H26" s="76" t="s">
        <v>91</v>
      </c>
      <c r="I26" s="76" t="s">
        <v>91</v>
      </c>
      <c r="J26" s="76" t="s">
        <v>91</v>
      </c>
      <c r="K26" s="76" t="s">
        <v>91</v>
      </c>
      <c r="L26" s="76" t="s">
        <v>91</v>
      </c>
      <c r="M26" s="76" t="s">
        <v>91</v>
      </c>
      <c r="N26" s="76" t="s">
        <v>91</v>
      </c>
      <c r="O26" s="76" t="s">
        <v>91</v>
      </c>
      <c r="P26" s="76" t="s">
        <v>91</v>
      </c>
      <c r="Q26" s="76" t="s">
        <v>91</v>
      </c>
      <c r="R26" s="76" t="s">
        <v>91</v>
      </c>
      <c r="S26" s="76" t="s">
        <v>91</v>
      </c>
      <c r="T26" s="76"/>
      <c r="U26" s="76" t="s">
        <v>91</v>
      </c>
      <c r="V26" s="76" t="s">
        <v>91</v>
      </c>
      <c r="W26" s="76" t="s">
        <v>91</v>
      </c>
      <c r="X26" s="76"/>
      <c r="Y26" s="76"/>
      <c r="Z26" s="76"/>
      <c r="AA26" s="76" t="s">
        <v>91</v>
      </c>
      <c r="AB26" s="76" t="s">
        <v>91</v>
      </c>
      <c r="AC26" s="76" t="s">
        <v>91</v>
      </c>
      <c r="AD26" s="76" t="s">
        <v>91</v>
      </c>
      <c r="AE26" s="76" t="s">
        <v>91</v>
      </c>
      <c r="AF26" s="76"/>
    </row>
    <row r="27" spans="2:32" s="63" customFormat="1" x14ac:dyDescent="0.4">
      <c r="B27" s="68" t="s">
        <v>490</v>
      </c>
      <c r="C27" s="89">
        <v>1</v>
      </c>
      <c r="D27" s="72" t="s">
        <v>497</v>
      </c>
      <c r="E27" s="72" t="s">
        <v>91</v>
      </c>
      <c r="F27" s="72" t="s">
        <v>91</v>
      </c>
      <c r="G27" s="72" t="s">
        <v>91</v>
      </c>
      <c r="H27" s="72" t="s">
        <v>91</v>
      </c>
      <c r="I27" s="72" t="s">
        <v>91</v>
      </c>
      <c r="J27" s="72" t="s">
        <v>91</v>
      </c>
      <c r="K27" s="72" t="s">
        <v>91</v>
      </c>
      <c r="L27" s="72" t="s">
        <v>91</v>
      </c>
      <c r="M27" s="72" t="s">
        <v>91</v>
      </c>
      <c r="N27" s="72" t="s">
        <v>91</v>
      </c>
      <c r="O27" s="72" t="s">
        <v>91</v>
      </c>
      <c r="P27" s="72" t="s">
        <v>91</v>
      </c>
      <c r="Q27" s="72" t="s">
        <v>91</v>
      </c>
      <c r="R27" s="72" t="s">
        <v>91</v>
      </c>
      <c r="S27" s="72" t="s">
        <v>91</v>
      </c>
      <c r="T27" s="72"/>
      <c r="U27" s="72" t="s">
        <v>91</v>
      </c>
      <c r="V27" s="72" t="s">
        <v>402</v>
      </c>
      <c r="W27" s="72" t="s">
        <v>577</v>
      </c>
      <c r="X27" s="72" t="s">
        <v>403</v>
      </c>
      <c r="Y27" s="72" t="s">
        <v>91</v>
      </c>
      <c r="Z27" s="72" t="s">
        <v>91</v>
      </c>
      <c r="AA27" s="72" t="s">
        <v>91</v>
      </c>
      <c r="AB27" s="72" t="s">
        <v>366</v>
      </c>
      <c r="AC27" s="72">
        <v>111</v>
      </c>
      <c r="AD27" s="72" t="s">
        <v>366</v>
      </c>
      <c r="AE27" s="72">
        <v>222</v>
      </c>
      <c r="AF27" s="72"/>
    </row>
    <row r="28" spans="2:32" s="63" customFormat="1" x14ac:dyDescent="0.4">
      <c r="B28" s="68" t="s">
        <v>491</v>
      </c>
      <c r="C28" s="68"/>
      <c r="D28" s="72" t="s">
        <v>497</v>
      </c>
      <c r="E28" s="72" t="s">
        <v>91</v>
      </c>
      <c r="F28" s="72" t="s">
        <v>91</v>
      </c>
      <c r="G28" s="72" t="s">
        <v>91</v>
      </c>
      <c r="H28" s="72" t="s">
        <v>91</v>
      </c>
      <c r="I28" s="72" t="s">
        <v>91</v>
      </c>
      <c r="J28" s="72" t="s">
        <v>91</v>
      </c>
      <c r="K28" s="72" t="s">
        <v>91</v>
      </c>
      <c r="L28" s="72" t="s">
        <v>91</v>
      </c>
      <c r="M28" s="72" t="s">
        <v>91</v>
      </c>
      <c r="N28" s="72" t="s">
        <v>91</v>
      </c>
      <c r="O28" s="72" t="s">
        <v>91</v>
      </c>
      <c r="P28" s="72" t="s">
        <v>91</v>
      </c>
      <c r="Q28" s="72" t="s">
        <v>91</v>
      </c>
      <c r="R28" s="72" t="s">
        <v>91</v>
      </c>
      <c r="S28" s="72" t="s">
        <v>91</v>
      </c>
      <c r="T28" s="72"/>
      <c r="U28" s="72" t="s">
        <v>91</v>
      </c>
      <c r="V28" s="72" t="s">
        <v>402</v>
      </c>
      <c r="W28" s="72" t="s">
        <v>91</v>
      </c>
      <c r="X28" s="72" t="s">
        <v>91</v>
      </c>
      <c r="Y28" s="72">
        <v>11</v>
      </c>
      <c r="Z28" s="72">
        <v>16</v>
      </c>
      <c r="AA28" s="72">
        <v>27</v>
      </c>
      <c r="AB28" s="72" t="s">
        <v>91</v>
      </c>
      <c r="AC28" s="72" t="s">
        <v>91</v>
      </c>
      <c r="AD28" s="72" t="s">
        <v>91</v>
      </c>
      <c r="AE28" s="72" t="s">
        <v>91</v>
      </c>
      <c r="AF28" s="72"/>
    </row>
    <row r="29" spans="2:32" s="63" customFormat="1" x14ac:dyDescent="0.4">
      <c r="B29" s="68" t="s">
        <v>490</v>
      </c>
      <c r="C29" s="89">
        <v>2</v>
      </c>
      <c r="D29" s="72" t="s">
        <v>498</v>
      </c>
      <c r="E29" s="72" t="s">
        <v>91</v>
      </c>
      <c r="F29" s="72" t="s">
        <v>91</v>
      </c>
      <c r="G29" s="72" t="s">
        <v>91</v>
      </c>
      <c r="H29" s="72" t="s">
        <v>91</v>
      </c>
      <c r="I29" s="72" t="s">
        <v>91</v>
      </c>
      <c r="J29" s="72" t="s">
        <v>91</v>
      </c>
      <c r="K29" s="72" t="s">
        <v>91</v>
      </c>
      <c r="L29" s="72" t="s">
        <v>91</v>
      </c>
      <c r="M29" s="72" t="s">
        <v>91</v>
      </c>
      <c r="N29" s="72" t="s">
        <v>91</v>
      </c>
      <c r="O29" s="72" t="s">
        <v>91</v>
      </c>
      <c r="P29" s="72" t="s">
        <v>91</v>
      </c>
      <c r="Q29" s="72" t="s">
        <v>91</v>
      </c>
      <c r="R29" s="72" t="s">
        <v>91</v>
      </c>
      <c r="S29" s="72" t="s">
        <v>91</v>
      </c>
      <c r="T29" s="72"/>
      <c r="U29" s="72" t="s">
        <v>91</v>
      </c>
      <c r="V29" s="72" t="s">
        <v>405</v>
      </c>
      <c r="W29" s="72" t="s">
        <v>578</v>
      </c>
      <c r="X29" s="72" t="s">
        <v>407</v>
      </c>
      <c r="Y29" s="72" t="s">
        <v>91</v>
      </c>
      <c r="Z29" s="72" t="s">
        <v>91</v>
      </c>
      <c r="AA29" s="72" t="s">
        <v>91</v>
      </c>
      <c r="AB29" s="72" t="s">
        <v>366</v>
      </c>
      <c r="AC29" s="72">
        <v>111</v>
      </c>
      <c r="AD29" s="72" t="s">
        <v>366</v>
      </c>
      <c r="AE29" s="72">
        <v>222</v>
      </c>
      <c r="AF29" s="72"/>
    </row>
    <row r="30" spans="2:32" s="63" customFormat="1" x14ac:dyDescent="0.4">
      <c r="B30" s="68" t="s">
        <v>491</v>
      </c>
      <c r="C30" s="68"/>
      <c r="D30" s="72" t="s">
        <v>498</v>
      </c>
      <c r="E30" s="72" t="s">
        <v>91</v>
      </c>
      <c r="F30" s="72" t="s">
        <v>91</v>
      </c>
      <c r="G30" s="72" t="s">
        <v>91</v>
      </c>
      <c r="H30" s="72" t="s">
        <v>91</v>
      </c>
      <c r="I30" s="72" t="s">
        <v>91</v>
      </c>
      <c r="J30" s="72" t="s">
        <v>91</v>
      </c>
      <c r="K30" s="72" t="s">
        <v>91</v>
      </c>
      <c r="L30" s="72" t="s">
        <v>91</v>
      </c>
      <c r="M30" s="72" t="s">
        <v>91</v>
      </c>
      <c r="N30" s="72" t="s">
        <v>91</v>
      </c>
      <c r="O30" s="72" t="s">
        <v>91</v>
      </c>
      <c r="P30" s="72" t="s">
        <v>91</v>
      </c>
      <c r="Q30" s="72" t="s">
        <v>91</v>
      </c>
      <c r="R30" s="72" t="s">
        <v>91</v>
      </c>
      <c r="S30" s="72" t="s">
        <v>91</v>
      </c>
      <c r="T30" s="72"/>
      <c r="U30" s="72" t="s">
        <v>91</v>
      </c>
      <c r="V30" s="72" t="s">
        <v>405</v>
      </c>
      <c r="W30" s="72" t="s">
        <v>91</v>
      </c>
      <c r="X30" s="72" t="s">
        <v>91</v>
      </c>
      <c r="Y30" s="72">
        <v>9</v>
      </c>
      <c r="Z30" s="72">
        <v>5</v>
      </c>
      <c r="AA30" s="72">
        <v>14</v>
      </c>
      <c r="AB30" s="72" t="s">
        <v>91</v>
      </c>
      <c r="AC30" s="72" t="s">
        <v>91</v>
      </c>
      <c r="AD30" s="72" t="s">
        <v>91</v>
      </c>
      <c r="AE30" s="72" t="s">
        <v>91</v>
      </c>
      <c r="AF30" s="72"/>
    </row>
    <row r="31" spans="2:32" s="63" customFormat="1" x14ac:dyDescent="0.4">
      <c r="B31" s="68" t="s">
        <v>490</v>
      </c>
      <c r="C31" s="89">
        <v>3</v>
      </c>
      <c r="D31" s="73" t="s">
        <v>499</v>
      </c>
      <c r="E31" s="72" t="s">
        <v>91</v>
      </c>
      <c r="F31" s="72" t="s">
        <v>91</v>
      </c>
      <c r="G31" s="72" t="s">
        <v>91</v>
      </c>
      <c r="H31" s="72" t="s">
        <v>91</v>
      </c>
      <c r="I31" s="72" t="s">
        <v>91</v>
      </c>
      <c r="J31" s="72" t="s">
        <v>91</v>
      </c>
      <c r="K31" s="72" t="s">
        <v>91</v>
      </c>
      <c r="L31" s="72" t="s">
        <v>91</v>
      </c>
      <c r="M31" s="72" t="s">
        <v>91</v>
      </c>
      <c r="N31" s="72" t="s">
        <v>91</v>
      </c>
      <c r="O31" s="72" t="s">
        <v>91</v>
      </c>
      <c r="P31" s="72" t="s">
        <v>91</v>
      </c>
      <c r="Q31" s="72" t="s">
        <v>91</v>
      </c>
      <c r="R31" s="72" t="s">
        <v>91</v>
      </c>
      <c r="S31" s="72" t="s">
        <v>91</v>
      </c>
      <c r="T31" s="72"/>
      <c r="U31" s="72" t="s">
        <v>91</v>
      </c>
      <c r="V31" s="72" t="s">
        <v>408</v>
      </c>
      <c r="W31" s="72" t="s">
        <v>579</v>
      </c>
      <c r="X31" s="72" t="s">
        <v>410</v>
      </c>
      <c r="Y31" s="72" t="s">
        <v>91</v>
      </c>
      <c r="Z31" s="72" t="s">
        <v>91</v>
      </c>
      <c r="AA31" s="72" t="s">
        <v>91</v>
      </c>
      <c r="AB31" s="72" t="s">
        <v>366</v>
      </c>
      <c r="AC31" s="72">
        <v>111</v>
      </c>
      <c r="AD31" s="73" t="s">
        <v>397</v>
      </c>
      <c r="AE31" s="73">
        <v>333</v>
      </c>
      <c r="AF31" s="72"/>
    </row>
    <row r="32" spans="2:32" s="63" customFormat="1" x14ac:dyDescent="0.4">
      <c r="B32" s="68" t="s">
        <v>491</v>
      </c>
      <c r="C32" s="68"/>
      <c r="D32" s="73" t="s">
        <v>499</v>
      </c>
      <c r="E32" s="72" t="s">
        <v>91</v>
      </c>
      <c r="F32" s="72" t="s">
        <v>91</v>
      </c>
      <c r="G32" s="72" t="s">
        <v>91</v>
      </c>
      <c r="H32" s="72" t="s">
        <v>91</v>
      </c>
      <c r="I32" s="72" t="s">
        <v>91</v>
      </c>
      <c r="J32" s="72" t="s">
        <v>91</v>
      </c>
      <c r="K32" s="72" t="s">
        <v>91</v>
      </c>
      <c r="L32" s="72" t="s">
        <v>91</v>
      </c>
      <c r="M32" s="72" t="s">
        <v>91</v>
      </c>
      <c r="N32" s="72" t="s">
        <v>91</v>
      </c>
      <c r="O32" s="72" t="s">
        <v>91</v>
      </c>
      <c r="P32" s="72" t="s">
        <v>91</v>
      </c>
      <c r="Q32" s="72" t="s">
        <v>91</v>
      </c>
      <c r="R32" s="72" t="s">
        <v>91</v>
      </c>
      <c r="S32" s="72" t="s">
        <v>91</v>
      </c>
      <c r="T32" s="72"/>
      <c r="U32" s="72" t="s">
        <v>91</v>
      </c>
      <c r="V32" s="72" t="s">
        <v>408</v>
      </c>
      <c r="W32" s="72" t="s">
        <v>91</v>
      </c>
      <c r="X32" s="72" t="s">
        <v>91</v>
      </c>
      <c r="Y32" s="72">
        <v>3</v>
      </c>
      <c r="Z32" s="72">
        <v>1</v>
      </c>
      <c r="AA32" s="73">
        <v>0</v>
      </c>
      <c r="AB32" s="72" t="s">
        <v>91</v>
      </c>
      <c r="AC32" s="72" t="s">
        <v>91</v>
      </c>
      <c r="AD32" s="72" t="s">
        <v>91</v>
      </c>
      <c r="AE32" s="72" t="s">
        <v>91</v>
      </c>
      <c r="AF32" s="72"/>
    </row>
    <row r="33" spans="2:32" x14ac:dyDescent="0.4">
      <c r="B33" s="68"/>
      <c r="C33" s="72" t="s">
        <v>361</v>
      </c>
      <c r="D33" s="68"/>
      <c r="E33" s="68"/>
      <c r="F33" s="72"/>
      <c r="G33" s="72"/>
      <c r="H33" s="72"/>
      <c r="I33" s="72"/>
      <c r="J33" s="72"/>
      <c r="K33" s="72"/>
      <c r="L33" s="72"/>
      <c r="M33" s="72"/>
      <c r="N33" s="72"/>
      <c r="O33" s="72"/>
      <c r="P33" s="72"/>
      <c r="Q33" s="72"/>
      <c r="R33" s="52"/>
      <c r="S33" s="52"/>
      <c r="T33" s="52"/>
      <c r="U33" s="52"/>
      <c r="V33" s="52"/>
      <c r="W33" s="52"/>
      <c r="X33" s="52"/>
      <c r="Y33" s="52"/>
      <c r="Z33" s="52"/>
      <c r="AA33" s="52"/>
      <c r="AB33" s="52"/>
      <c r="AC33" s="52"/>
      <c r="AD33" s="52"/>
      <c r="AE33" s="52"/>
      <c r="AF33" s="52"/>
    </row>
    <row r="34" spans="2:32" x14ac:dyDescent="0.4">
      <c r="B34" s="70"/>
      <c r="C34" s="75"/>
      <c r="D34" s="70"/>
      <c r="E34" s="70"/>
      <c r="F34" s="75"/>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row>
  </sheetData>
  <mergeCells count="5">
    <mergeCell ref="F2:Q2"/>
    <mergeCell ref="R2:U2"/>
    <mergeCell ref="V2:AA2"/>
    <mergeCell ref="AB2:AE2"/>
    <mergeCell ref="B2:E2"/>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5"/>
  <sheetViews>
    <sheetView workbookViewId="0">
      <selection activeCell="K17" sqref="K17"/>
    </sheetView>
  </sheetViews>
  <sheetFormatPr defaultRowHeight="18.75" x14ac:dyDescent="0.4"/>
  <sheetData>
    <row r="2" spans="2:2" x14ac:dyDescent="0.4">
      <c r="B2" t="s">
        <v>323</v>
      </c>
    </row>
    <row r="4" spans="2:2" x14ac:dyDescent="0.4">
      <c r="B4" t="s">
        <v>324</v>
      </c>
    </row>
    <row r="5" spans="2:2" x14ac:dyDescent="0.4">
      <c r="B5" t="s">
        <v>325</v>
      </c>
    </row>
    <row r="6" spans="2:2" x14ac:dyDescent="0.4">
      <c r="B6" t="s">
        <v>326</v>
      </c>
    </row>
    <row r="7" spans="2:2" x14ac:dyDescent="0.4">
      <c r="B7" t="s">
        <v>327</v>
      </c>
    </row>
    <row r="8" spans="2:2" x14ac:dyDescent="0.4">
      <c r="B8" t="s">
        <v>328</v>
      </c>
    </row>
    <row r="9" spans="2:2" x14ac:dyDescent="0.4">
      <c r="B9" t="s">
        <v>329</v>
      </c>
    </row>
    <row r="10" spans="2:2" x14ac:dyDescent="0.4">
      <c r="B10" t="s">
        <v>330</v>
      </c>
    </row>
    <row r="13" spans="2:2" x14ac:dyDescent="0.4">
      <c r="B13" t="s">
        <v>421</v>
      </c>
    </row>
    <row r="14" spans="2:2" x14ac:dyDescent="0.4">
      <c r="B14" t="s">
        <v>422</v>
      </c>
    </row>
    <row r="15" spans="2:2" x14ac:dyDescent="0.4">
      <c r="B15" t="s">
        <v>423</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
  <sheetViews>
    <sheetView topLeftCell="A28" workbookViewId="0">
      <selection activeCell="H84" sqref="H84"/>
    </sheetView>
  </sheetViews>
  <sheetFormatPr defaultColWidth="8.625" defaultRowHeight="18.75" x14ac:dyDescent="0.4"/>
  <cols>
    <col min="1" max="1" width="5" style="1" customWidth="1"/>
    <col min="2" max="2" width="6.625" style="3" customWidth="1"/>
    <col min="3" max="16384" width="8.625" style="3"/>
  </cols>
  <sheetData>
    <row r="1" spans="1:3" x14ac:dyDescent="0.4">
      <c r="A1" s="1" t="s">
        <v>222</v>
      </c>
    </row>
    <row r="2" spans="1:3" x14ac:dyDescent="0.4">
      <c r="B2" s="3" t="s">
        <v>123</v>
      </c>
    </row>
    <row r="3" spans="1:3" x14ac:dyDescent="0.4">
      <c r="B3" s="3" t="s">
        <v>124</v>
      </c>
    </row>
    <row r="4" spans="1:3" x14ac:dyDescent="0.4">
      <c r="B4" s="3" t="s">
        <v>125</v>
      </c>
    </row>
    <row r="5" spans="1:3" x14ac:dyDescent="0.4">
      <c r="B5" s="3" t="s">
        <v>126</v>
      </c>
    </row>
    <row r="6" spans="1:3" x14ac:dyDescent="0.4">
      <c r="B6" s="3" t="s">
        <v>127</v>
      </c>
    </row>
    <row r="7" spans="1:3" x14ac:dyDescent="0.4">
      <c r="B7" s="3" t="s">
        <v>128</v>
      </c>
    </row>
    <row r="8" spans="1:3" x14ac:dyDescent="0.4">
      <c r="B8" s="3" t="s">
        <v>129</v>
      </c>
    </row>
    <row r="9" spans="1:3" x14ac:dyDescent="0.4">
      <c r="B9" s="31" t="s">
        <v>130</v>
      </c>
    </row>
    <row r="10" spans="1:3" x14ac:dyDescent="0.4">
      <c r="B10" s="42" t="s">
        <v>228</v>
      </c>
      <c r="C10" s="3" t="s">
        <v>229</v>
      </c>
    </row>
    <row r="11" spans="1:3" x14ac:dyDescent="0.4">
      <c r="B11" s="42" t="s">
        <v>228</v>
      </c>
      <c r="C11" s="3" t="s">
        <v>230</v>
      </c>
    </row>
    <row r="12" spans="1:3" x14ac:dyDescent="0.4">
      <c r="B12" s="3" t="s">
        <v>131</v>
      </c>
    </row>
    <row r="13" spans="1:3" x14ac:dyDescent="0.4">
      <c r="B13" s="32" t="s">
        <v>132</v>
      </c>
    </row>
    <row r="14" spans="1:3" x14ac:dyDescent="0.4">
      <c r="B14" s="42" t="s">
        <v>228</v>
      </c>
      <c r="C14" s="3" t="s">
        <v>225</v>
      </c>
    </row>
    <row r="15" spans="1:3" x14ac:dyDescent="0.4">
      <c r="B15" s="42" t="s">
        <v>228</v>
      </c>
      <c r="C15" s="3" t="s">
        <v>226</v>
      </c>
    </row>
    <row r="16" spans="1:3" x14ac:dyDescent="0.4">
      <c r="B16" s="42" t="s">
        <v>228</v>
      </c>
      <c r="C16" s="3" t="s">
        <v>227</v>
      </c>
    </row>
    <row r="17" spans="1:2" x14ac:dyDescent="0.4">
      <c r="B17" s="3" t="s">
        <v>133</v>
      </c>
    </row>
    <row r="18" spans="1:2" x14ac:dyDescent="0.4">
      <c r="B18" s="3" t="s">
        <v>134</v>
      </c>
    </row>
    <row r="19" spans="1:2" x14ac:dyDescent="0.4">
      <c r="B19" s="3" t="s">
        <v>135</v>
      </c>
    </row>
    <row r="20" spans="1:2" x14ac:dyDescent="0.4">
      <c r="B20" s="3" t="s">
        <v>136</v>
      </c>
    </row>
    <row r="21" spans="1:2" x14ac:dyDescent="0.4">
      <c r="B21" s="3" t="s">
        <v>137</v>
      </c>
    </row>
    <row r="22" spans="1:2" x14ac:dyDescent="0.4">
      <c r="A22" s="1" t="s">
        <v>187</v>
      </c>
    </row>
    <row r="23" spans="1:2" x14ac:dyDescent="0.4">
      <c r="B23" s="1" t="s">
        <v>145</v>
      </c>
    </row>
    <row r="24" spans="1:2" x14ac:dyDescent="0.4">
      <c r="B24" s="1" t="s">
        <v>188</v>
      </c>
    </row>
    <row r="25" spans="1:2" x14ac:dyDescent="0.4">
      <c r="B25" s="3" t="s">
        <v>146</v>
      </c>
    </row>
    <row r="26" spans="1:2" x14ac:dyDescent="0.4">
      <c r="B26" s="3" t="s">
        <v>147</v>
      </c>
    </row>
    <row r="27" spans="1:2" x14ac:dyDescent="0.4">
      <c r="B27" s="3" t="s">
        <v>148</v>
      </c>
    </row>
    <row r="28" spans="1:2" x14ac:dyDescent="0.4">
      <c r="B28" s="3" t="s">
        <v>149</v>
      </c>
    </row>
    <row r="29" spans="1:2" x14ac:dyDescent="0.4">
      <c r="B29" s="1" t="s">
        <v>150</v>
      </c>
    </row>
    <row r="30" spans="1:2" x14ac:dyDescent="0.4">
      <c r="B30" s="1" t="s">
        <v>189</v>
      </c>
    </row>
    <row r="31" spans="1:2" x14ac:dyDescent="0.4">
      <c r="B31" s="3" t="s">
        <v>151</v>
      </c>
    </row>
    <row r="32" spans="1:2" x14ac:dyDescent="0.4">
      <c r="B32" s="3" t="s">
        <v>152</v>
      </c>
    </row>
    <row r="33" spans="2:2" x14ac:dyDescent="0.4">
      <c r="B33" s="3" t="s">
        <v>153</v>
      </c>
    </row>
    <row r="34" spans="2:2" x14ac:dyDescent="0.4">
      <c r="B34" s="3" t="s">
        <v>154</v>
      </c>
    </row>
    <row r="35" spans="2:2" x14ac:dyDescent="0.4">
      <c r="B35" s="1" t="s">
        <v>155</v>
      </c>
    </row>
    <row r="36" spans="2:2" x14ac:dyDescent="0.4">
      <c r="B36" s="3" t="s">
        <v>156</v>
      </c>
    </row>
    <row r="37" spans="2:2" x14ac:dyDescent="0.4">
      <c r="B37" s="1" t="s">
        <v>157</v>
      </c>
    </row>
    <row r="38" spans="2:2" x14ac:dyDescent="0.4">
      <c r="B38" s="3" t="s">
        <v>251</v>
      </c>
    </row>
    <row r="39" spans="2:2" x14ac:dyDescent="0.4">
      <c r="B39" s="1" t="s">
        <v>158</v>
      </c>
    </row>
    <row r="40" spans="2:2" x14ac:dyDescent="0.4">
      <c r="B40" s="3" t="s">
        <v>159</v>
      </c>
    </row>
    <row r="41" spans="2:2" x14ac:dyDescent="0.4">
      <c r="B41" s="1" t="s">
        <v>160</v>
      </c>
    </row>
    <row r="42" spans="2:2" x14ac:dyDescent="0.4">
      <c r="B42" s="3" t="s">
        <v>161</v>
      </c>
    </row>
    <row r="43" spans="2:2" x14ac:dyDescent="0.4">
      <c r="B43" s="1" t="s">
        <v>162</v>
      </c>
    </row>
    <row r="44" spans="2:2" x14ac:dyDescent="0.4">
      <c r="B44" s="3" t="s">
        <v>163</v>
      </c>
    </row>
    <row r="45" spans="2:2" x14ac:dyDescent="0.4">
      <c r="B45" s="1" t="s">
        <v>164</v>
      </c>
    </row>
    <row r="46" spans="2:2" x14ac:dyDescent="0.4">
      <c r="B46" s="3" t="s">
        <v>165</v>
      </c>
    </row>
    <row r="47" spans="2:2" x14ac:dyDescent="0.4">
      <c r="B47" s="1" t="s">
        <v>166</v>
      </c>
    </row>
    <row r="48" spans="2:2" x14ac:dyDescent="0.4">
      <c r="B48" s="3" t="s">
        <v>167</v>
      </c>
    </row>
    <row r="49" spans="2:2" x14ac:dyDescent="0.4">
      <c r="B49" s="1" t="s">
        <v>168</v>
      </c>
    </row>
    <row r="50" spans="2:2" x14ac:dyDescent="0.4">
      <c r="B50" s="3" t="s">
        <v>169</v>
      </c>
    </row>
    <row r="51" spans="2:2" x14ac:dyDescent="0.4">
      <c r="B51" s="3" t="s">
        <v>170</v>
      </c>
    </row>
    <row r="52" spans="2:2" x14ac:dyDescent="0.4">
      <c r="B52" s="3" t="s">
        <v>171</v>
      </c>
    </row>
    <row r="53" spans="2:2" x14ac:dyDescent="0.4">
      <c r="B53" s="1" t="s">
        <v>172</v>
      </c>
    </row>
    <row r="54" spans="2:2" x14ac:dyDescent="0.4">
      <c r="B54" s="3" t="s">
        <v>173</v>
      </c>
    </row>
    <row r="55" spans="2:2" x14ac:dyDescent="0.4">
      <c r="B55" s="1" t="s">
        <v>174</v>
      </c>
    </row>
    <row r="56" spans="2:2" x14ac:dyDescent="0.4">
      <c r="B56" s="3" t="s">
        <v>175</v>
      </c>
    </row>
    <row r="57" spans="2:2" x14ac:dyDescent="0.4">
      <c r="B57" s="3" t="s">
        <v>176</v>
      </c>
    </row>
    <row r="58" spans="2:2" x14ac:dyDescent="0.4">
      <c r="B58" s="3" t="s">
        <v>177</v>
      </c>
    </row>
    <row r="59" spans="2:2" x14ac:dyDescent="0.4">
      <c r="B59" s="3" t="s">
        <v>178</v>
      </c>
    </row>
    <row r="60" spans="2:2" x14ac:dyDescent="0.4">
      <c r="B60" s="1" t="s">
        <v>179</v>
      </c>
    </row>
    <row r="61" spans="2:2" x14ac:dyDescent="0.4">
      <c r="B61" s="3" t="s">
        <v>180</v>
      </c>
    </row>
    <row r="62" spans="2:2" x14ac:dyDescent="0.4">
      <c r="B62" s="3" t="s">
        <v>178</v>
      </c>
    </row>
    <row r="64" spans="2:2" x14ac:dyDescent="0.4">
      <c r="B64" s="1" t="s">
        <v>181</v>
      </c>
    </row>
    <row r="65" spans="1:2" x14ac:dyDescent="0.4">
      <c r="B65" s="1" t="s">
        <v>164</v>
      </c>
    </row>
    <row r="66" spans="1:2" x14ac:dyDescent="0.4">
      <c r="B66" s="3" t="s">
        <v>182</v>
      </c>
    </row>
    <row r="67" spans="1:2" x14ac:dyDescent="0.4">
      <c r="B67" s="1" t="s">
        <v>155</v>
      </c>
    </row>
    <row r="68" spans="1:2" x14ac:dyDescent="0.4">
      <c r="B68" s="3" t="s">
        <v>183</v>
      </c>
    </row>
    <row r="70" spans="1:2" x14ac:dyDescent="0.4">
      <c r="B70" s="3" t="s">
        <v>184</v>
      </c>
    </row>
    <row r="71" spans="1:2" x14ac:dyDescent="0.4">
      <c r="B71" s="3" t="s">
        <v>185</v>
      </c>
    </row>
    <row r="72" spans="1:2" x14ac:dyDescent="0.4">
      <c r="B72" s="3" t="s">
        <v>186</v>
      </c>
    </row>
    <row r="76" spans="1:2" x14ac:dyDescent="0.4">
      <c r="A76" s="3" t="s">
        <v>252</v>
      </c>
    </row>
    <row r="77" spans="1:2" x14ac:dyDescent="0.4">
      <c r="A77" s="3" t="s">
        <v>258</v>
      </c>
    </row>
    <row r="78" spans="1:2" x14ac:dyDescent="0.4">
      <c r="A78" s="3" t="s">
        <v>259</v>
      </c>
    </row>
    <row r="79" spans="1:2" x14ac:dyDescent="0.4">
      <c r="A79" s="3" t="s">
        <v>260</v>
      </c>
    </row>
  </sheetData>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topLeftCell="A31" workbookViewId="0">
      <selection activeCell="K34" sqref="K34"/>
    </sheetView>
  </sheetViews>
  <sheetFormatPr defaultColWidth="8.625" defaultRowHeight="18.75" x14ac:dyDescent="0.4"/>
  <cols>
    <col min="1" max="16384" width="8.625" style="3"/>
  </cols>
  <sheetData>
    <row r="1" spans="1:2" x14ac:dyDescent="0.4">
      <c r="A1" s="1" t="s">
        <v>122</v>
      </c>
    </row>
    <row r="2" spans="1:2" x14ac:dyDescent="0.4">
      <c r="A2" s="1"/>
      <c r="B2" s="3" t="s">
        <v>109</v>
      </c>
    </row>
    <row r="3" spans="1:2" x14ac:dyDescent="0.4">
      <c r="A3" s="1"/>
      <c r="B3" s="3" t="s">
        <v>110</v>
      </c>
    </row>
    <row r="4" spans="1:2" x14ac:dyDescent="0.4">
      <c r="A4" s="1"/>
      <c r="B4" s="31" t="s">
        <v>111</v>
      </c>
    </row>
    <row r="5" spans="1:2" x14ac:dyDescent="0.4">
      <c r="A5" s="1"/>
      <c r="B5" s="32" t="s">
        <v>231</v>
      </c>
    </row>
    <row r="6" spans="1:2" x14ac:dyDescent="0.4">
      <c r="A6" s="1"/>
      <c r="B6" s="32" t="s">
        <v>234</v>
      </c>
    </row>
    <row r="7" spans="1:2" x14ac:dyDescent="0.4">
      <c r="A7" s="1"/>
      <c r="B7" s="44" t="s">
        <v>112</v>
      </c>
    </row>
    <row r="8" spans="1:2" x14ac:dyDescent="0.4">
      <c r="A8" s="1"/>
      <c r="B8" s="44" t="s">
        <v>113</v>
      </c>
    </row>
    <row r="9" spans="1:2" x14ac:dyDescent="0.4">
      <c r="A9" s="1"/>
      <c r="B9" s="3" t="s">
        <v>114</v>
      </c>
    </row>
    <row r="10" spans="1:2" x14ac:dyDescent="0.4">
      <c r="A10" s="1"/>
      <c r="B10" s="3" t="s">
        <v>115</v>
      </c>
    </row>
    <row r="11" spans="1:2" x14ac:dyDescent="0.4">
      <c r="A11" s="1"/>
      <c r="B11" s="3" t="s">
        <v>116</v>
      </c>
    </row>
    <row r="12" spans="1:2" x14ac:dyDescent="0.4">
      <c r="A12" s="1"/>
      <c r="B12" s="3" t="s">
        <v>117</v>
      </c>
    </row>
    <row r="13" spans="1:2" x14ac:dyDescent="0.4">
      <c r="A13" s="1"/>
      <c r="B13" s="32" t="s">
        <v>118</v>
      </c>
    </row>
    <row r="14" spans="1:2" x14ac:dyDescent="0.4">
      <c r="A14" s="1"/>
      <c r="B14" s="3" t="s">
        <v>119</v>
      </c>
    </row>
    <row r="15" spans="1:2" x14ac:dyDescent="0.4">
      <c r="A15" s="1"/>
      <c r="B15" s="3" t="s">
        <v>120</v>
      </c>
    </row>
    <row r="16" spans="1:2" x14ac:dyDescent="0.4">
      <c r="A16" s="1"/>
      <c r="B16" s="3" t="s">
        <v>121</v>
      </c>
    </row>
    <row r="17" spans="1:11" x14ac:dyDescent="0.4">
      <c r="A17" s="1" t="s">
        <v>144</v>
      </c>
    </row>
    <row r="18" spans="1:11" x14ac:dyDescent="0.4">
      <c r="A18" s="1"/>
      <c r="B18" s="3" t="s">
        <v>138</v>
      </c>
    </row>
    <row r="19" spans="1:11" x14ac:dyDescent="0.4">
      <c r="A19" s="1"/>
      <c r="B19" s="3" t="s">
        <v>139</v>
      </c>
    </row>
    <row r="20" spans="1:11" x14ac:dyDescent="0.4">
      <c r="A20" s="1"/>
      <c r="B20" s="3" t="s">
        <v>140</v>
      </c>
    </row>
    <row r="21" spans="1:11" x14ac:dyDescent="0.4">
      <c r="A21" s="1"/>
      <c r="B21" s="3" t="s">
        <v>141</v>
      </c>
    </row>
    <row r="22" spans="1:11" x14ac:dyDescent="0.4">
      <c r="A22" s="1"/>
      <c r="B22" s="3" t="s">
        <v>142</v>
      </c>
    </row>
    <row r="23" spans="1:11" x14ac:dyDescent="0.4">
      <c r="A23" s="1"/>
      <c r="B23" s="3" t="s">
        <v>143</v>
      </c>
    </row>
    <row r="24" spans="1:11" x14ac:dyDescent="0.4">
      <c r="A24" s="1" t="s">
        <v>201</v>
      </c>
    </row>
    <row r="25" spans="1:11" s="32" customFormat="1" x14ac:dyDescent="0.4">
      <c r="B25" s="32" t="s">
        <v>202</v>
      </c>
      <c r="K25" s="32" t="s">
        <v>218</v>
      </c>
    </row>
    <row r="26" spans="1:11" x14ac:dyDescent="0.4">
      <c r="B26" s="3" t="s">
        <v>203</v>
      </c>
    </row>
    <row r="27" spans="1:11" x14ac:dyDescent="0.4">
      <c r="B27" s="3" t="s">
        <v>204</v>
      </c>
    </row>
    <row r="28" spans="1:11" x14ac:dyDescent="0.4">
      <c r="B28" s="3" t="s">
        <v>205</v>
      </c>
    </row>
    <row r="29" spans="1:11" x14ac:dyDescent="0.4">
      <c r="B29" s="3" t="s">
        <v>500</v>
      </c>
    </row>
    <row r="30" spans="1:11" x14ac:dyDescent="0.4">
      <c r="B30" s="3" t="s">
        <v>206</v>
      </c>
    </row>
    <row r="31" spans="1:11" x14ac:dyDescent="0.4">
      <c r="B31" s="3" t="s">
        <v>207</v>
      </c>
    </row>
    <row r="32" spans="1:11" x14ac:dyDescent="0.4">
      <c r="B32" s="3" t="s">
        <v>208</v>
      </c>
    </row>
    <row r="33" spans="1:2" x14ac:dyDescent="0.4">
      <c r="B33" s="3" t="s">
        <v>209</v>
      </c>
    </row>
    <row r="34" spans="1:2" x14ac:dyDescent="0.4">
      <c r="B34" s="3" t="s">
        <v>210</v>
      </c>
    </row>
    <row r="35" spans="1:2" x14ac:dyDescent="0.4">
      <c r="B35" s="3" t="s">
        <v>211</v>
      </c>
    </row>
    <row r="36" spans="1:2" x14ac:dyDescent="0.4">
      <c r="B36" s="3" t="s">
        <v>212</v>
      </c>
    </row>
    <row r="37" spans="1:2" x14ac:dyDescent="0.4">
      <c r="B37" s="3" t="s">
        <v>213</v>
      </c>
    </row>
    <row r="38" spans="1:2" x14ac:dyDescent="0.4">
      <c r="B38" s="3" t="s">
        <v>214</v>
      </c>
    </row>
    <row r="39" spans="1:2" x14ac:dyDescent="0.4">
      <c r="B39" s="3" t="s">
        <v>215</v>
      </c>
    </row>
    <row r="40" spans="1:2" x14ac:dyDescent="0.4">
      <c r="B40" s="3" t="s">
        <v>216</v>
      </c>
    </row>
    <row r="42" spans="1:2" x14ac:dyDescent="0.4">
      <c r="B42" s="3" t="s">
        <v>217</v>
      </c>
    </row>
    <row r="44" spans="1:2" x14ac:dyDescent="0.4">
      <c r="A44" s="3" t="s">
        <v>252</v>
      </c>
    </row>
    <row r="45" spans="1:2" x14ac:dyDescent="0.4">
      <c r="A45" s="43" t="s">
        <v>253</v>
      </c>
    </row>
    <row r="46" spans="1:2" x14ac:dyDescent="0.4">
      <c r="A46" s="3" t="s">
        <v>254</v>
      </c>
    </row>
    <row r="47" spans="1:2" x14ac:dyDescent="0.4">
      <c r="A47" s="3" t="s">
        <v>255</v>
      </c>
    </row>
    <row r="49" spans="1:2" x14ac:dyDescent="0.4">
      <c r="A49" s="3" t="s">
        <v>256</v>
      </c>
    </row>
    <row r="50" spans="1:2" x14ac:dyDescent="0.4">
      <c r="A50" s="3" t="s">
        <v>257</v>
      </c>
    </row>
    <row r="52" spans="1:2" x14ac:dyDescent="0.4">
      <c r="A52" s="3" t="s">
        <v>261</v>
      </c>
    </row>
    <row r="53" spans="1:2" x14ac:dyDescent="0.4">
      <c r="A53" s="45" t="s">
        <v>263</v>
      </c>
      <c r="B53" s="32" t="s">
        <v>262</v>
      </c>
    </row>
    <row r="54" spans="1:2" x14ac:dyDescent="0.4">
      <c r="A54" s="3" t="s">
        <v>264</v>
      </c>
    </row>
    <row r="55" spans="1:2" x14ac:dyDescent="0.4">
      <c r="A55" s="45" t="s">
        <v>263</v>
      </c>
      <c r="B55" s="32" t="s">
        <v>265</v>
      </c>
    </row>
    <row r="56" spans="1:2" x14ac:dyDescent="0.4">
      <c r="A56" s="3" t="s">
        <v>266</v>
      </c>
    </row>
    <row r="57" spans="1:2" x14ac:dyDescent="0.4">
      <c r="A57" s="45" t="s">
        <v>263</v>
      </c>
      <c r="B57" s="32" t="s">
        <v>267</v>
      </c>
    </row>
    <row r="58" spans="1:2" x14ac:dyDescent="0.4">
      <c r="A58" s="3" t="s">
        <v>268</v>
      </c>
    </row>
    <row r="59" spans="1:2" x14ac:dyDescent="0.4">
      <c r="A59" s="45" t="s">
        <v>263</v>
      </c>
      <c r="B59" s="31" t="s">
        <v>269</v>
      </c>
    </row>
    <row r="60" spans="1:2" x14ac:dyDescent="0.4">
      <c r="A60" s="3" t="s">
        <v>270</v>
      </c>
    </row>
    <row r="61" spans="1:2" x14ac:dyDescent="0.4">
      <c r="B61" s="32" t="s">
        <v>271</v>
      </c>
    </row>
  </sheetData>
  <phoneticPr fontId="1"/>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51"/>
  <sheetViews>
    <sheetView topLeftCell="A34" workbookViewId="0">
      <selection activeCell="G43" sqref="G43"/>
    </sheetView>
  </sheetViews>
  <sheetFormatPr defaultRowHeight="18.75" x14ac:dyDescent="0.4"/>
  <cols>
    <col min="2" max="2" width="26" bestFit="1" customWidth="1"/>
  </cols>
  <sheetData>
    <row r="2" spans="2:3" x14ac:dyDescent="0.4">
      <c r="B2" t="s">
        <v>501</v>
      </c>
      <c r="C2" t="s">
        <v>502</v>
      </c>
    </row>
    <row r="3" spans="2:3" x14ac:dyDescent="0.4">
      <c r="C3" t="s">
        <v>503</v>
      </c>
    </row>
    <row r="4" spans="2:3" x14ac:dyDescent="0.4">
      <c r="C4" t="s">
        <v>504</v>
      </c>
    </row>
    <row r="5" spans="2:3" x14ac:dyDescent="0.4">
      <c r="B5" t="s">
        <v>505</v>
      </c>
      <c r="C5" t="s">
        <v>506</v>
      </c>
    </row>
    <row r="6" spans="2:3" x14ac:dyDescent="0.4">
      <c r="C6" t="s">
        <v>507</v>
      </c>
    </row>
    <row r="7" spans="2:3" x14ac:dyDescent="0.4">
      <c r="C7" t="s">
        <v>508</v>
      </c>
    </row>
    <row r="8" spans="2:3" x14ac:dyDescent="0.4">
      <c r="B8" t="s">
        <v>509</v>
      </c>
      <c r="C8" t="s">
        <v>510</v>
      </c>
    </row>
    <row r="9" spans="2:3" x14ac:dyDescent="0.4">
      <c r="C9" t="s">
        <v>511</v>
      </c>
    </row>
    <row r="10" spans="2:3" x14ac:dyDescent="0.4">
      <c r="C10" t="s">
        <v>512</v>
      </c>
    </row>
    <row r="11" spans="2:3" x14ac:dyDescent="0.4">
      <c r="C11" t="s">
        <v>513</v>
      </c>
    </row>
    <row r="12" spans="2:3" x14ac:dyDescent="0.4">
      <c r="C12" t="s">
        <v>514</v>
      </c>
    </row>
    <row r="13" spans="2:3" x14ac:dyDescent="0.4">
      <c r="C13" t="s">
        <v>515</v>
      </c>
    </row>
    <row r="14" spans="2:3" x14ac:dyDescent="0.4">
      <c r="C14" t="s">
        <v>516</v>
      </c>
    </row>
    <row r="15" spans="2:3" x14ac:dyDescent="0.4">
      <c r="C15" t="s">
        <v>517</v>
      </c>
    </row>
    <row r="16" spans="2:3" x14ac:dyDescent="0.4">
      <c r="C16" t="s">
        <v>518</v>
      </c>
    </row>
    <row r="17" spans="2:3" x14ac:dyDescent="0.4">
      <c r="C17" t="s">
        <v>519</v>
      </c>
    </row>
    <row r="18" spans="2:3" x14ac:dyDescent="0.4">
      <c r="C18" t="s">
        <v>520</v>
      </c>
    </row>
    <row r="19" spans="2:3" x14ac:dyDescent="0.4">
      <c r="C19" t="s">
        <v>521</v>
      </c>
    </row>
    <row r="20" spans="2:3" x14ac:dyDescent="0.4">
      <c r="C20" t="s">
        <v>522</v>
      </c>
    </row>
    <row r="21" spans="2:3" x14ac:dyDescent="0.4">
      <c r="C21" t="s">
        <v>523</v>
      </c>
    </row>
    <row r="22" spans="2:3" x14ac:dyDescent="0.4">
      <c r="C22" t="s">
        <v>521</v>
      </c>
    </row>
    <row r="23" spans="2:3" x14ac:dyDescent="0.4">
      <c r="B23" t="s">
        <v>524</v>
      </c>
      <c r="C23" t="s">
        <v>525</v>
      </c>
    </row>
    <row r="24" spans="2:3" x14ac:dyDescent="0.4">
      <c r="C24" t="s">
        <v>526</v>
      </c>
    </row>
    <row r="25" spans="2:3" x14ac:dyDescent="0.4">
      <c r="C25" t="s">
        <v>527</v>
      </c>
    </row>
    <row r="26" spans="2:3" x14ac:dyDescent="0.4">
      <c r="C26" t="s">
        <v>528</v>
      </c>
    </row>
    <row r="27" spans="2:3" x14ac:dyDescent="0.4">
      <c r="B27" t="s">
        <v>529</v>
      </c>
      <c r="C27" t="s">
        <v>530</v>
      </c>
    </row>
    <row r="28" spans="2:3" x14ac:dyDescent="0.4">
      <c r="C28" t="s">
        <v>531</v>
      </c>
    </row>
    <row r="29" spans="2:3" x14ac:dyDescent="0.4">
      <c r="C29" t="s">
        <v>532</v>
      </c>
    </row>
    <row r="30" spans="2:3" x14ac:dyDescent="0.4">
      <c r="C30" t="s">
        <v>533</v>
      </c>
    </row>
    <row r="31" spans="2:3" x14ac:dyDescent="0.4">
      <c r="C31" t="s">
        <v>534</v>
      </c>
    </row>
    <row r="32" spans="2:3" x14ac:dyDescent="0.4">
      <c r="C32" t="s">
        <v>535</v>
      </c>
    </row>
    <row r="33" spans="2:3" x14ac:dyDescent="0.4">
      <c r="C33" t="s">
        <v>536</v>
      </c>
    </row>
    <row r="34" spans="2:3" x14ac:dyDescent="0.4">
      <c r="C34" t="s">
        <v>537</v>
      </c>
    </row>
    <row r="35" spans="2:3" x14ac:dyDescent="0.4">
      <c r="C35" t="s">
        <v>538</v>
      </c>
    </row>
    <row r="36" spans="2:3" x14ac:dyDescent="0.4">
      <c r="C36" t="s">
        <v>539</v>
      </c>
    </row>
    <row r="37" spans="2:3" x14ac:dyDescent="0.4">
      <c r="C37" t="s">
        <v>540</v>
      </c>
    </row>
    <row r="38" spans="2:3" x14ac:dyDescent="0.4">
      <c r="C38" t="s">
        <v>541</v>
      </c>
    </row>
    <row r="39" spans="2:3" x14ac:dyDescent="0.4">
      <c r="B39" t="s">
        <v>542</v>
      </c>
      <c r="C39" t="s">
        <v>543</v>
      </c>
    </row>
    <row r="40" spans="2:3" x14ac:dyDescent="0.4">
      <c r="C40" t="s">
        <v>544</v>
      </c>
    </row>
    <row r="41" spans="2:3" x14ac:dyDescent="0.4">
      <c r="C41" t="s">
        <v>545</v>
      </c>
    </row>
    <row r="42" spans="2:3" x14ac:dyDescent="0.4">
      <c r="C42" t="s">
        <v>546</v>
      </c>
    </row>
    <row r="43" spans="2:3" x14ac:dyDescent="0.4">
      <c r="C43" t="s">
        <v>547</v>
      </c>
    </row>
    <row r="44" spans="2:3" x14ac:dyDescent="0.4">
      <c r="C44" t="s">
        <v>548</v>
      </c>
    </row>
    <row r="45" spans="2:3" x14ac:dyDescent="0.4">
      <c r="C45" t="s">
        <v>549</v>
      </c>
    </row>
    <row r="46" spans="2:3" x14ac:dyDescent="0.4">
      <c r="C46" t="s">
        <v>550</v>
      </c>
    </row>
    <row r="47" spans="2:3" x14ac:dyDescent="0.4">
      <c r="C47" t="s">
        <v>551</v>
      </c>
    </row>
    <row r="48" spans="2:3" x14ac:dyDescent="0.4">
      <c r="C48" t="s">
        <v>552</v>
      </c>
    </row>
    <row r="49" spans="3:3" x14ac:dyDescent="0.4">
      <c r="C49" t="s">
        <v>553</v>
      </c>
    </row>
    <row r="50" spans="3:3" x14ac:dyDescent="0.4">
      <c r="C50" t="s">
        <v>554</v>
      </c>
    </row>
    <row r="51" spans="3:3" x14ac:dyDescent="0.4">
      <c r="C51" t="s">
        <v>555</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L12" sqref="L12"/>
    </sheetView>
  </sheetViews>
  <sheetFormatPr defaultColWidth="8.625" defaultRowHeight="18.75" x14ac:dyDescent="0.4"/>
  <cols>
    <col min="1" max="16384" width="8.625" style="3"/>
  </cols>
  <sheetData>
    <row r="1" spans="1:1" x14ac:dyDescent="0.4">
      <c r="A1" s="3" t="s">
        <v>190</v>
      </c>
    </row>
    <row r="11" spans="1:1" x14ac:dyDescent="0.4">
      <c r="A11" s="3" t="s">
        <v>191</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topLeftCell="G1" zoomScale="85" zoomScaleNormal="85" workbookViewId="0">
      <selection activeCell="L14" sqref="L14"/>
    </sheetView>
  </sheetViews>
  <sheetFormatPr defaultColWidth="8.625" defaultRowHeight="18.75" x14ac:dyDescent="0.4"/>
  <cols>
    <col min="1" max="1" width="4.25" style="3" customWidth="1"/>
    <col min="2" max="2" width="8.625" style="3"/>
    <col min="3" max="3" width="16.25" style="3" bestFit="1" customWidth="1"/>
    <col min="4" max="4" width="22.125" style="3" bestFit="1" customWidth="1"/>
    <col min="5" max="5" width="24.125" style="3" bestFit="1" customWidth="1"/>
    <col min="6" max="6" width="28.25" style="3" bestFit="1" customWidth="1"/>
    <col min="7" max="7" width="12.375" style="3" bestFit="1" customWidth="1"/>
    <col min="8" max="8" width="14.875" style="3" bestFit="1" customWidth="1"/>
    <col min="9" max="10" width="14.875" style="3" customWidth="1"/>
    <col min="11" max="11" width="5.875" style="9" customWidth="1"/>
    <col min="12" max="12" width="13" style="3" bestFit="1" customWidth="1"/>
    <col min="13" max="14" width="12.375" style="3" customWidth="1"/>
    <col min="15" max="15" width="13.375" style="3" bestFit="1" customWidth="1"/>
    <col min="16" max="16" width="25.25" style="3" bestFit="1" customWidth="1"/>
    <col min="17" max="17" width="9.625" style="3" bestFit="1" customWidth="1"/>
    <col min="18" max="18" width="33.125" style="3" bestFit="1" customWidth="1"/>
    <col min="19" max="19" width="32.875" style="3" bestFit="1" customWidth="1"/>
    <col min="20" max="20" width="20.625" style="3" bestFit="1" customWidth="1"/>
    <col min="21" max="16384" width="8.625" style="3"/>
  </cols>
  <sheetData>
    <row r="1" spans="1:20" x14ac:dyDescent="0.4">
      <c r="A1" s="3" t="s">
        <v>85</v>
      </c>
    </row>
    <row r="3" spans="1:20" x14ac:dyDescent="0.4">
      <c r="B3" s="35" t="s">
        <v>200</v>
      </c>
      <c r="C3" s="35" t="s">
        <v>199</v>
      </c>
      <c r="D3" s="35" t="s">
        <v>198</v>
      </c>
      <c r="E3" s="120" t="s">
        <v>197</v>
      </c>
      <c r="F3" s="120"/>
      <c r="G3" s="35" t="s">
        <v>95</v>
      </c>
      <c r="H3" s="35" t="s">
        <v>220</v>
      </c>
      <c r="I3" s="35" t="s">
        <v>221</v>
      </c>
      <c r="J3" s="35" t="s">
        <v>233</v>
      </c>
      <c r="K3" s="34"/>
      <c r="L3" s="121" t="s">
        <v>196</v>
      </c>
      <c r="M3" s="121"/>
      <c r="N3" s="121" t="s">
        <v>102</v>
      </c>
      <c r="O3" s="121"/>
      <c r="P3" s="36" t="s">
        <v>236</v>
      </c>
      <c r="Q3" s="36" t="s">
        <v>250</v>
      </c>
      <c r="R3" s="37" t="s">
        <v>223</v>
      </c>
      <c r="S3" s="37" t="s">
        <v>232</v>
      </c>
      <c r="T3" s="37" t="s">
        <v>235</v>
      </c>
    </row>
    <row r="4" spans="1:20" s="33" customFormat="1" x14ac:dyDescent="0.4">
      <c r="B4" s="38"/>
      <c r="C4" s="38"/>
      <c r="D4" s="38"/>
      <c r="E4" s="39"/>
      <c r="F4" s="40"/>
      <c r="G4" s="38"/>
      <c r="H4" s="38" t="s">
        <v>192</v>
      </c>
      <c r="I4" s="38"/>
      <c r="J4" s="38"/>
      <c r="K4" s="34"/>
      <c r="L4" s="41" t="s">
        <v>88</v>
      </c>
      <c r="M4" s="41" t="s">
        <v>89</v>
      </c>
      <c r="N4" s="41" t="s">
        <v>88</v>
      </c>
      <c r="O4" s="41" t="s">
        <v>89</v>
      </c>
      <c r="P4" s="38"/>
      <c r="Q4" s="38"/>
      <c r="R4" s="38"/>
      <c r="S4" s="38"/>
      <c r="T4" s="38"/>
    </row>
    <row r="5" spans="1:20" x14ac:dyDescent="0.4">
      <c r="B5" s="5" t="s">
        <v>30</v>
      </c>
      <c r="C5" s="5" t="s">
        <v>1</v>
      </c>
      <c r="D5" s="5" t="s">
        <v>0</v>
      </c>
      <c r="E5" s="5" t="s">
        <v>93</v>
      </c>
      <c r="F5" s="5" t="s">
        <v>28</v>
      </c>
      <c r="G5" s="5" t="s">
        <v>27</v>
      </c>
      <c r="H5" s="5" t="s">
        <v>91</v>
      </c>
      <c r="I5" s="5" t="s">
        <v>237</v>
      </c>
      <c r="J5" s="5" t="s">
        <v>108</v>
      </c>
      <c r="K5" s="5"/>
      <c r="L5" s="5" t="s">
        <v>90</v>
      </c>
      <c r="M5" s="5" t="s">
        <v>108</v>
      </c>
      <c r="N5" s="5"/>
      <c r="O5" s="5"/>
      <c r="P5" s="5" t="s">
        <v>196</v>
      </c>
      <c r="Q5" s="5" t="s">
        <v>224</v>
      </c>
      <c r="R5" s="5"/>
      <c r="S5" s="5"/>
      <c r="T5" s="5"/>
    </row>
    <row r="6" spans="1:20" x14ac:dyDescent="0.4">
      <c r="B6" s="5" t="s">
        <v>30</v>
      </c>
      <c r="C6" s="5" t="s">
        <v>1</v>
      </c>
      <c r="D6" s="5" t="s">
        <v>0</v>
      </c>
      <c r="E6" s="5" t="s">
        <v>92</v>
      </c>
      <c r="F6" s="5" t="s">
        <v>96</v>
      </c>
      <c r="G6" s="5" t="s">
        <v>94</v>
      </c>
      <c r="H6" s="5" t="s">
        <v>91</v>
      </c>
      <c r="I6" s="5"/>
      <c r="J6" s="5"/>
      <c r="K6" s="5"/>
      <c r="L6" s="5" t="s">
        <v>91</v>
      </c>
      <c r="M6" s="5" t="s">
        <v>91</v>
      </c>
      <c r="N6" s="5"/>
      <c r="O6" s="5"/>
      <c r="P6" s="5" t="s">
        <v>196</v>
      </c>
      <c r="Q6" s="5" t="s">
        <v>224</v>
      </c>
      <c r="R6" s="5"/>
      <c r="S6" s="5"/>
      <c r="T6" s="5"/>
    </row>
    <row r="7" spans="1:20" x14ac:dyDescent="0.4">
      <c r="B7" s="5" t="s">
        <v>249</v>
      </c>
      <c r="C7" s="5" t="s">
        <v>1</v>
      </c>
      <c r="D7" s="5" t="s">
        <v>101</v>
      </c>
      <c r="E7" s="5" t="s">
        <v>97</v>
      </c>
      <c r="F7" s="5" t="s">
        <v>238</v>
      </c>
      <c r="G7" s="5" t="s">
        <v>27</v>
      </c>
      <c r="H7" s="5" t="s">
        <v>194</v>
      </c>
      <c r="I7" s="5"/>
      <c r="J7" s="5"/>
      <c r="K7" s="5"/>
      <c r="L7" s="5" t="s">
        <v>91</v>
      </c>
      <c r="M7" s="5" t="s">
        <v>91</v>
      </c>
      <c r="N7" s="5" t="s">
        <v>103</v>
      </c>
      <c r="O7" s="5" t="s">
        <v>108</v>
      </c>
      <c r="P7" s="5" t="str">
        <f>N7&amp;"-"&amp;O7&amp;"-index"</f>
        <v>cat_1-revised_at-index</v>
      </c>
      <c r="Q7" s="5" t="s">
        <v>224</v>
      </c>
      <c r="R7" s="5" t="s">
        <v>244</v>
      </c>
      <c r="S7" s="5"/>
      <c r="T7" s="5"/>
    </row>
    <row r="8" spans="1:20" x14ac:dyDescent="0.4">
      <c r="B8" s="5" t="s">
        <v>249</v>
      </c>
      <c r="C8" s="5" t="s">
        <v>1</v>
      </c>
      <c r="D8" s="5" t="s">
        <v>104</v>
      </c>
      <c r="E8" s="5" t="s">
        <v>97</v>
      </c>
      <c r="F8" s="5" t="s">
        <v>239</v>
      </c>
      <c r="G8" s="5" t="s">
        <v>27</v>
      </c>
      <c r="H8" s="5" t="s">
        <v>194</v>
      </c>
      <c r="I8" s="5"/>
      <c r="J8" s="5"/>
      <c r="K8" s="5"/>
      <c r="L8" s="5" t="s">
        <v>91</v>
      </c>
      <c r="M8" s="5" t="s">
        <v>91</v>
      </c>
      <c r="N8" s="5" t="s">
        <v>106</v>
      </c>
      <c r="O8" s="5" t="s">
        <v>108</v>
      </c>
      <c r="P8" s="5" t="str">
        <f>N8&amp;"-"&amp;O8&amp;"-index"</f>
        <v>cat_2-revised_at-index</v>
      </c>
      <c r="Q8" s="5" t="s">
        <v>224</v>
      </c>
      <c r="R8" s="5" t="s">
        <v>245</v>
      </c>
      <c r="S8" s="5"/>
      <c r="T8" s="5"/>
    </row>
    <row r="9" spans="1:20" x14ac:dyDescent="0.4">
      <c r="B9" s="5" t="s">
        <v>249</v>
      </c>
      <c r="C9" s="5" t="s">
        <v>1</v>
      </c>
      <c r="D9" s="5" t="s">
        <v>105</v>
      </c>
      <c r="E9" s="5" t="s">
        <v>97</v>
      </c>
      <c r="F9" s="5" t="s">
        <v>240</v>
      </c>
      <c r="G9" s="5" t="s">
        <v>27</v>
      </c>
      <c r="H9" s="5" t="s">
        <v>194</v>
      </c>
      <c r="I9" s="5"/>
      <c r="J9" s="5"/>
      <c r="K9" s="5"/>
      <c r="L9" s="5" t="s">
        <v>91</v>
      </c>
      <c r="M9" s="5" t="s">
        <v>91</v>
      </c>
      <c r="N9" s="5" t="s">
        <v>107</v>
      </c>
      <c r="O9" s="5" t="s">
        <v>108</v>
      </c>
      <c r="P9" s="5" t="str">
        <f>N9&amp;"-"&amp;O9&amp;"-index"</f>
        <v>cat_3-revised_at-index</v>
      </c>
      <c r="Q9" s="5" t="s">
        <v>224</v>
      </c>
      <c r="R9" s="5" t="s">
        <v>246</v>
      </c>
      <c r="S9" s="5"/>
      <c r="T9" s="5"/>
    </row>
    <row r="10" spans="1:20" x14ac:dyDescent="0.4">
      <c r="B10" s="5" t="s">
        <v>249</v>
      </c>
      <c r="C10" s="5" t="s">
        <v>1</v>
      </c>
      <c r="D10" s="5" t="s">
        <v>219</v>
      </c>
      <c r="E10" s="5" t="s">
        <v>97</v>
      </c>
      <c r="F10" s="5" t="s">
        <v>241</v>
      </c>
      <c r="G10" s="5" t="s">
        <v>27</v>
      </c>
      <c r="H10" s="5" t="s">
        <v>194</v>
      </c>
      <c r="I10" s="5"/>
      <c r="J10" s="5"/>
      <c r="K10" s="5"/>
      <c r="L10" s="5" t="s">
        <v>91</v>
      </c>
      <c r="M10" s="5" t="s">
        <v>91</v>
      </c>
      <c r="N10" s="5" t="s">
        <v>91</v>
      </c>
      <c r="O10" s="5" t="s">
        <v>91</v>
      </c>
      <c r="P10" s="5" t="s">
        <v>242</v>
      </c>
      <c r="Q10" s="5" t="s">
        <v>224</v>
      </c>
      <c r="R10" s="5" t="s">
        <v>247</v>
      </c>
      <c r="S10" s="5"/>
      <c r="T10" s="5"/>
    </row>
    <row r="11" spans="1:20" x14ac:dyDescent="0.4">
      <c r="B11" s="5" t="s">
        <v>30</v>
      </c>
      <c r="C11" s="5" t="s">
        <v>1</v>
      </c>
      <c r="D11" s="5" t="s">
        <v>86</v>
      </c>
      <c r="E11" s="5" t="s">
        <v>87</v>
      </c>
      <c r="F11" s="5" t="s">
        <v>29</v>
      </c>
      <c r="G11" s="5" t="s">
        <v>27</v>
      </c>
      <c r="H11" s="5" t="s">
        <v>193</v>
      </c>
      <c r="I11" s="5"/>
      <c r="J11" s="5"/>
      <c r="K11" s="5"/>
      <c r="L11" s="5"/>
      <c r="M11" s="5"/>
      <c r="N11" s="5"/>
      <c r="O11" s="5"/>
      <c r="P11" s="5" t="s">
        <v>196</v>
      </c>
      <c r="Q11" s="5" t="s">
        <v>243</v>
      </c>
      <c r="R11" s="5" t="s">
        <v>248</v>
      </c>
      <c r="S11" s="5"/>
      <c r="T11" s="5"/>
    </row>
    <row r="12" spans="1:20" x14ac:dyDescent="0.4">
      <c r="B12" s="5"/>
      <c r="C12" s="5"/>
      <c r="D12" s="5"/>
      <c r="E12" s="5"/>
      <c r="F12" s="5"/>
      <c r="G12" s="5"/>
      <c r="H12" s="5"/>
      <c r="I12" s="5"/>
      <c r="J12" s="5"/>
      <c r="K12" s="5"/>
      <c r="L12" s="5"/>
      <c r="M12" s="5"/>
      <c r="N12" s="5"/>
      <c r="O12" s="5"/>
      <c r="P12" s="5"/>
      <c r="Q12" s="5"/>
      <c r="R12" s="5"/>
      <c r="S12" s="5"/>
      <c r="T12" s="5"/>
    </row>
    <row r="13" spans="1:20" x14ac:dyDescent="0.4">
      <c r="B13" s="5"/>
      <c r="C13" s="5"/>
      <c r="D13" s="5"/>
      <c r="E13" s="5"/>
      <c r="F13" s="5"/>
      <c r="G13" s="5"/>
      <c r="H13" s="5"/>
      <c r="I13" s="5"/>
      <c r="J13" s="5"/>
      <c r="K13" s="5"/>
      <c r="L13" s="5"/>
      <c r="M13" s="5"/>
      <c r="N13" s="5"/>
      <c r="O13" s="5"/>
      <c r="P13" s="5"/>
      <c r="Q13" s="5"/>
      <c r="R13" s="5"/>
      <c r="S13" s="5"/>
      <c r="T13" s="5"/>
    </row>
    <row r="14" spans="1:20" x14ac:dyDescent="0.4">
      <c r="B14" s="5"/>
      <c r="C14" s="5"/>
      <c r="D14" s="5"/>
      <c r="E14" s="5"/>
      <c r="F14" s="5"/>
      <c r="G14" s="5"/>
      <c r="H14" s="5"/>
      <c r="I14" s="5"/>
      <c r="J14" s="5"/>
      <c r="K14" s="5"/>
      <c r="L14" s="5"/>
      <c r="M14" s="5"/>
      <c r="N14" s="5"/>
      <c r="O14" s="5"/>
      <c r="P14" s="5"/>
      <c r="Q14" s="5"/>
      <c r="R14" s="5"/>
      <c r="S14" s="5"/>
      <c r="T14" s="5"/>
    </row>
    <row r="15" spans="1:20" x14ac:dyDescent="0.4">
      <c r="B15" s="5"/>
      <c r="C15" s="5"/>
      <c r="D15" s="5"/>
      <c r="E15" s="5"/>
      <c r="F15" s="5"/>
      <c r="G15" s="5"/>
      <c r="H15" s="5"/>
      <c r="I15" s="5"/>
      <c r="J15" s="5"/>
      <c r="K15" s="5"/>
      <c r="L15" s="5"/>
      <c r="M15" s="5"/>
      <c r="N15" s="5"/>
      <c r="O15" s="5"/>
      <c r="P15" s="5"/>
      <c r="Q15" s="5"/>
      <c r="R15" s="5"/>
      <c r="S15" s="5"/>
      <c r="T15" s="5"/>
    </row>
    <row r="16" spans="1:20" x14ac:dyDescent="0.4">
      <c r="B16" s="5"/>
      <c r="C16" s="5"/>
      <c r="D16" s="5"/>
      <c r="E16" s="5"/>
      <c r="F16" s="5"/>
      <c r="G16" s="5"/>
      <c r="H16" s="5"/>
      <c r="I16" s="5"/>
      <c r="J16" s="5"/>
      <c r="K16" s="5"/>
      <c r="L16" s="5"/>
      <c r="M16" s="5"/>
      <c r="N16" s="5"/>
      <c r="O16" s="5"/>
      <c r="P16" s="5"/>
      <c r="Q16" s="5"/>
      <c r="R16" s="5"/>
      <c r="S16" s="5"/>
      <c r="T16" s="5"/>
    </row>
    <row r="17" spans="1:20" x14ac:dyDescent="0.4">
      <c r="B17" s="5"/>
      <c r="C17" s="5"/>
      <c r="D17" s="5"/>
      <c r="E17" s="5"/>
      <c r="F17" s="5"/>
      <c r="G17" s="5"/>
      <c r="H17" s="5"/>
      <c r="I17" s="5"/>
      <c r="J17" s="5"/>
      <c r="K17" s="5"/>
      <c r="L17" s="5"/>
      <c r="M17" s="5"/>
      <c r="N17" s="5"/>
      <c r="O17" s="5"/>
      <c r="P17" s="5"/>
      <c r="Q17" s="5"/>
      <c r="R17" s="5"/>
      <c r="S17" s="5"/>
      <c r="T17" s="5"/>
    </row>
    <row r="18" spans="1:20" x14ac:dyDescent="0.4">
      <c r="B18" s="5"/>
      <c r="C18" s="5"/>
      <c r="D18" s="5"/>
      <c r="E18" s="5"/>
      <c r="F18" s="5"/>
      <c r="G18" s="5"/>
      <c r="H18" s="5"/>
      <c r="I18" s="5"/>
      <c r="J18" s="5"/>
      <c r="K18" s="5"/>
      <c r="L18" s="5"/>
      <c r="M18" s="5"/>
      <c r="N18" s="5"/>
      <c r="O18" s="5"/>
      <c r="P18" s="5"/>
      <c r="Q18" s="5"/>
      <c r="R18" s="5"/>
      <c r="S18" s="5"/>
      <c r="T18" s="5"/>
    </row>
    <row r="19" spans="1:20" x14ac:dyDescent="0.4">
      <c r="B19" s="6"/>
      <c r="C19" s="6"/>
      <c r="D19" s="6"/>
      <c r="E19" s="6"/>
      <c r="F19" s="6"/>
      <c r="G19" s="6"/>
      <c r="H19" s="6"/>
      <c r="I19" s="6"/>
      <c r="J19" s="6"/>
      <c r="K19" s="5"/>
      <c r="L19" s="6"/>
      <c r="M19" s="6"/>
      <c r="N19" s="6"/>
      <c r="O19" s="6"/>
      <c r="P19" s="6"/>
      <c r="Q19" s="6"/>
      <c r="R19" s="6"/>
      <c r="S19" s="6"/>
      <c r="T19" s="6"/>
    </row>
    <row r="23" spans="1:20" x14ac:dyDescent="0.4">
      <c r="A23" s="3" t="s">
        <v>195</v>
      </c>
    </row>
  </sheetData>
  <mergeCells count="3">
    <mergeCell ref="E3:F3"/>
    <mergeCell ref="L3:M3"/>
    <mergeCell ref="N3:O3"/>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9"/>
  <sheetViews>
    <sheetView topLeftCell="F1" zoomScale="85" zoomScaleNormal="85" workbookViewId="0">
      <selection activeCell="AA3" sqref="AA3:AC8"/>
    </sheetView>
  </sheetViews>
  <sheetFormatPr defaultColWidth="8.625" defaultRowHeight="18.75" x14ac:dyDescent="0.4"/>
  <cols>
    <col min="1" max="1" width="17.875" style="33" bestFit="1" customWidth="1"/>
    <col min="2" max="3" width="11.25" style="63" customWidth="1"/>
    <col min="4" max="4" width="9.75" style="63" bestFit="1" customWidth="1"/>
    <col min="5" max="5" width="11.25" style="63" bestFit="1" customWidth="1"/>
    <col min="6" max="6" width="14.125" style="63" bestFit="1" customWidth="1"/>
    <col min="7" max="7" width="15.5" style="33" bestFit="1" customWidth="1"/>
    <col min="8" max="8" width="9.75" style="33" bestFit="1" customWidth="1"/>
    <col min="9" max="9" width="10.625" style="63" bestFit="1" customWidth="1"/>
    <col min="10" max="11" width="10.625" style="33" bestFit="1" customWidth="1"/>
    <col min="12" max="12" width="7.625" style="33" bestFit="1" customWidth="1"/>
    <col min="13" max="13" width="8" style="33" bestFit="1" customWidth="1"/>
    <col min="14" max="14" width="13.375" style="33" bestFit="1" customWidth="1"/>
    <col min="15" max="15" width="14.25" style="33" bestFit="1" customWidth="1"/>
    <col min="16" max="16" width="14" style="33" bestFit="1" customWidth="1"/>
    <col min="17" max="17" width="12.25" style="33" bestFit="1" customWidth="1"/>
    <col min="18" max="18" width="12.625" style="33" bestFit="1" customWidth="1"/>
    <col min="19" max="19" width="5.375" style="33" bestFit="1" customWidth="1"/>
    <col min="20" max="20" width="12.75" style="33" customWidth="1"/>
    <col min="21" max="21" width="10.625" style="33" bestFit="1" customWidth="1"/>
    <col min="22" max="23" width="9.875" style="33" bestFit="1" customWidth="1"/>
    <col min="24" max="24" width="7.625" style="33" bestFit="1" customWidth="1"/>
    <col min="25" max="25" width="9.875" style="33" bestFit="1" customWidth="1"/>
    <col min="26" max="26" width="16.25" style="33" bestFit="1" customWidth="1"/>
    <col min="27" max="27" width="9" style="33" bestFit="1" customWidth="1"/>
    <col min="28" max="28" width="10.25" style="33" bestFit="1" customWidth="1"/>
    <col min="29" max="29" width="16.25" style="33" customWidth="1"/>
    <col min="30" max="30" width="22" style="33" bestFit="1" customWidth="1"/>
    <col min="31" max="31" width="11" style="33" bestFit="1" customWidth="1"/>
    <col min="32" max="32" width="22" style="33" bestFit="1" customWidth="1"/>
    <col min="33" max="33" width="11.75" style="33" bestFit="1" customWidth="1"/>
    <col min="34" max="34" width="3.875" style="33" customWidth="1"/>
    <col min="35" max="16384" width="8.625" style="33"/>
  </cols>
  <sheetData>
    <row r="1" spans="1:34" s="49" customFormat="1" x14ac:dyDescent="0.4">
      <c r="A1" s="49" t="s">
        <v>83</v>
      </c>
      <c r="D1" s="63"/>
      <c r="E1" s="63"/>
      <c r="F1" s="63"/>
      <c r="I1" s="63"/>
    </row>
    <row r="2" spans="1:34" s="66" customFormat="1" x14ac:dyDescent="0.4">
      <c r="B2" s="104" t="s">
        <v>440</v>
      </c>
      <c r="C2" s="105"/>
      <c r="D2" s="105"/>
      <c r="E2" s="105"/>
      <c r="F2" s="105"/>
      <c r="G2" s="105"/>
      <c r="H2" s="106"/>
      <c r="I2" s="111" t="s">
        <v>441</v>
      </c>
      <c r="J2" s="112"/>
      <c r="K2" s="112"/>
      <c r="L2" s="112"/>
      <c r="M2" s="112"/>
      <c r="N2" s="112"/>
      <c r="O2" s="112"/>
      <c r="P2" s="112"/>
      <c r="Q2" s="112"/>
      <c r="R2" s="112"/>
      <c r="S2" s="112"/>
      <c r="T2" s="122"/>
      <c r="U2" s="113" t="s">
        <v>442</v>
      </c>
      <c r="V2" s="114"/>
      <c r="W2" s="123"/>
      <c r="X2" s="115" t="s">
        <v>443</v>
      </c>
      <c r="Y2" s="116"/>
      <c r="Z2" s="116"/>
      <c r="AA2" s="116"/>
      <c r="AB2" s="116"/>
      <c r="AC2" s="124"/>
      <c r="AD2" s="117" t="s">
        <v>440</v>
      </c>
      <c r="AE2" s="118"/>
      <c r="AF2" s="118"/>
      <c r="AG2" s="119"/>
    </row>
    <row r="3" spans="1:34" s="65" customFormat="1" x14ac:dyDescent="0.4">
      <c r="A3" s="65" t="s">
        <v>320</v>
      </c>
      <c r="B3" s="99" t="s">
        <v>321</v>
      </c>
      <c r="C3" s="99" t="s">
        <v>322</v>
      </c>
      <c r="D3" s="99"/>
      <c r="E3" s="99"/>
      <c r="F3" s="99"/>
      <c r="G3" s="99"/>
      <c r="H3" s="99"/>
      <c r="I3" s="100"/>
      <c r="J3" s="100"/>
      <c r="K3" s="100"/>
      <c r="L3" s="100"/>
      <c r="M3" s="100"/>
      <c r="N3" s="100"/>
      <c r="O3" s="100"/>
      <c r="P3" s="100"/>
      <c r="Q3" s="100"/>
      <c r="R3" s="100"/>
      <c r="S3" s="100"/>
      <c r="T3" s="100"/>
      <c r="U3" s="101"/>
      <c r="V3" s="101"/>
      <c r="W3" s="101"/>
      <c r="X3" s="102"/>
      <c r="Y3" s="102"/>
      <c r="Z3" s="102"/>
      <c r="AA3" s="102"/>
      <c r="AB3" s="102"/>
      <c r="AC3" s="102"/>
      <c r="AD3" s="99"/>
      <c r="AE3" s="99"/>
      <c r="AF3" s="99"/>
      <c r="AG3" s="99"/>
      <c r="AH3" s="103"/>
    </row>
    <row r="4" spans="1:34" s="88" customFormat="1" x14ac:dyDescent="0.4">
      <c r="A4" s="88" t="s">
        <v>382</v>
      </c>
      <c r="B4" s="94"/>
      <c r="C4" s="94"/>
      <c r="D4" s="94" t="s">
        <v>383</v>
      </c>
      <c r="E4" s="94" t="s">
        <v>331</v>
      </c>
      <c r="F4" s="94"/>
      <c r="G4" s="94" t="s">
        <v>432</v>
      </c>
      <c r="H4" s="94" t="s">
        <v>434</v>
      </c>
      <c r="I4" s="95" t="s">
        <v>334</v>
      </c>
      <c r="J4" s="95" t="s">
        <v>335</v>
      </c>
      <c r="K4" s="95" t="s">
        <v>336</v>
      </c>
      <c r="L4" s="95"/>
      <c r="M4" s="95"/>
      <c r="N4" s="95"/>
      <c r="O4" s="95"/>
      <c r="P4" s="95"/>
      <c r="Q4" s="95"/>
      <c r="R4" s="95"/>
      <c r="S4" s="95"/>
      <c r="T4" s="95"/>
      <c r="U4" s="96" t="s">
        <v>380</v>
      </c>
      <c r="V4" s="96"/>
      <c r="W4" s="96"/>
      <c r="X4" s="97"/>
      <c r="Y4" s="97"/>
      <c r="Z4" s="97"/>
      <c r="AA4" s="97"/>
      <c r="AB4" s="97"/>
      <c r="AC4" s="97"/>
      <c r="AD4" s="94"/>
      <c r="AE4" s="94"/>
      <c r="AF4" s="94" t="s">
        <v>337</v>
      </c>
      <c r="AG4" s="94"/>
      <c r="AH4" s="98"/>
    </row>
    <row r="5" spans="1:34" s="63" customFormat="1" x14ac:dyDescent="0.4">
      <c r="A5" s="63" t="s">
        <v>417</v>
      </c>
      <c r="B5" s="91">
        <v>1</v>
      </c>
      <c r="C5" s="91">
        <v>2</v>
      </c>
      <c r="D5" s="91">
        <v>3</v>
      </c>
      <c r="E5" s="83">
        <v>4</v>
      </c>
      <c r="F5" s="83">
        <v>5</v>
      </c>
      <c r="G5" s="84">
        <v>6</v>
      </c>
      <c r="H5" s="84">
        <v>7</v>
      </c>
      <c r="I5" s="86">
        <v>8</v>
      </c>
      <c r="J5" s="86">
        <v>9</v>
      </c>
      <c r="K5" s="86">
        <v>10</v>
      </c>
      <c r="L5" s="86">
        <v>11</v>
      </c>
      <c r="M5" s="86">
        <v>12</v>
      </c>
      <c r="N5" s="86">
        <v>13</v>
      </c>
      <c r="O5" s="86">
        <v>14</v>
      </c>
      <c r="P5" s="86">
        <v>15</v>
      </c>
      <c r="Q5" s="86">
        <v>16</v>
      </c>
      <c r="R5" s="86">
        <v>17</v>
      </c>
      <c r="S5" s="86">
        <v>18</v>
      </c>
      <c r="T5" s="86">
        <v>19</v>
      </c>
      <c r="U5" s="81">
        <v>20</v>
      </c>
      <c r="V5" s="81">
        <v>21</v>
      </c>
      <c r="W5" s="81">
        <v>22</v>
      </c>
      <c r="X5" s="79">
        <v>23</v>
      </c>
      <c r="Y5" s="79">
        <v>24</v>
      </c>
      <c r="Z5" s="79">
        <v>25</v>
      </c>
      <c r="AA5" s="79">
        <v>26</v>
      </c>
      <c r="AB5" s="79">
        <v>27</v>
      </c>
      <c r="AC5" s="79">
        <v>28</v>
      </c>
      <c r="AD5" s="83">
        <v>29</v>
      </c>
      <c r="AE5" s="83">
        <v>30</v>
      </c>
      <c r="AF5" s="83">
        <v>31</v>
      </c>
      <c r="AG5" s="83">
        <v>32</v>
      </c>
      <c r="AH5" s="72"/>
    </row>
    <row r="6" spans="1:34" s="63" customFormat="1" x14ac:dyDescent="0.4">
      <c r="A6" s="63" t="s">
        <v>418</v>
      </c>
      <c r="B6" s="91" t="s">
        <v>3</v>
      </c>
      <c r="C6" s="91" t="s">
        <v>89</v>
      </c>
      <c r="D6" s="91" t="s">
        <v>18</v>
      </c>
      <c r="E6" s="83" t="s">
        <v>425</v>
      </c>
      <c r="F6" s="83" t="s">
        <v>374</v>
      </c>
      <c r="G6" s="84" t="s">
        <v>427</v>
      </c>
      <c r="H6" s="84" t="s">
        <v>428</v>
      </c>
      <c r="I6" s="86" t="s">
        <v>341</v>
      </c>
      <c r="J6" s="86" t="s">
        <v>342</v>
      </c>
      <c r="K6" s="86" t="s">
        <v>343</v>
      </c>
      <c r="L6" s="86" t="s">
        <v>4</v>
      </c>
      <c r="M6" s="86" t="s">
        <v>344</v>
      </c>
      <c r="N6" s="86" t="s">
        <v>345</v>
      </c>
      <c r="O6" s="86" t="s">
        <v>346</v>
      </c>
      <c r="P6" s="86" t="s">
        <v>347</v>
      </c>
      <c r="Q6" s="86" t="s">
        <v>348</v>
      </c>
      <c r="R6" s="86" t="s">
        <v>349</v>
      </c>
      <c r="S6" s="86" t="s">
        <v>350</v>
      </c>
      <c r="T6" s="86" t="s">
        <v>354</v>
      </c>
      <c r="U6" s="81" t="s">
        <v>375</v>
      </c>
      <c r="V6" s="81" t="s">
        <v>376</v>
      </c>
      <c r="W6" s="81" t="s">
        <v>377</v>
      </c>
      <c r="X6" s="79" t="s">
        <v>399</v>
      </c>
      <c r="Y6" s="79" t="s">
        <v>400</v>
      </c>
      <c r="Z6" s="79" t="s">
        <v>401</v>
      </c>
      <c r="AA6" s="79" t="s">
        <v>412</v>
      </c>
      <c r="AB6" s="79" t="s">
        <v>413</v>
      </c>
      <c r="AC6" s="79" t="s">
        <v>414</v>
      </c>
      <c r="AD6" s="83" t="s">
        <v>351</v>
      </c>
      <c r="AE6" s="83" t="s">
        <v>352</v>
      </c>
      <c r="AF6" s="83" t="s">
        <v>353</v>
      </c>
      <c r="AG6" s="83" t="s">
        <v>15</v>
      </c>
      <c r="AH6" s="72"/>
    </row>
    <row r="7" spans="1:34" s="63" customFormat="1" x14ac:dyDescent="0.4">
      <c r="A7" s="63" t="s">
        <v>426</v>
      </c>
      <c r="B7" s="91" t="s">
        <v>385</v>
      </c>
      <c r="C7" s="91" t="s">
        <v>385</v>
      </c>
      <c r="D7" s="91" t="s">
        <v>385</v>
      </c>
      <c r="E7" s="83" t="s">
        <v>385</v>
      </c>
      <c r="F7" s="83" t="s">
        <v>393</v>
      </c>
      <c r="G7" s="83" t="s">
        <v>385</v>
      </c>
      <c r="H7" s="83" t="s">
        <v>393</v>
      </c>
      <c r="I7" s="86" t="s">
        <v>385</v>
      </c>
      <c r="J7" s="86" t="s">
        <v>385</v>
      </c>
      <c r="K7" s="86" t="s">
        <v>385</v>
      </c>
      <c r="L7" s="86" t="s">
        <v>385</v>
      </c>
      <c r="M7" s="86" t="s">
        <v>385</v>
      </c>
      <c r="N7" s="86" t="s">
        <v>385</v>
      </c>
      <c r="O7" s="86" t="s">
        <v>385</v>
      </c>
      <c r="P7" s="86" t="s">
        <v>385</v>
      </c>
      <c r="Q7" s="86" t="s">
        <v>385</v>
      </c>
      <c r="R7" s="86" t="s">
        <v>385</v>
      </c>
      <c r="S7" s="86" t="s">
        <v>385</v>
      </c>
      <c r="T7" s="86" t="s">
        <v>393</v>
      </c>
      <c r="U7" s="81" t="s">
        <v>385</v>
      </c>
      <c r="V7" s="81" t="s">
        <v>385</v>
      </c>
      <c r="W7" s="81" t="s">
        <v>393</v>
      </c>
      <c r="X7" s="78" t="s">
        <v>385</v>
      </c>
      <c r="Y7" s="78" t="s">
        <v>385</v>
      </c>
      <c r="Z7" s="78" t="s">
        <v>411</v>
      </c>
      <c r="AA7" s="78" t="s">
        <v>393</v>
      </c>
      <c r="AB7" s="78" t="s">
        <v>393</v>
      </c>
      <c r="AC7" s="78" t="s">
        <v>393</v>
      </c>
      <c r="AD7" s="83" t="s">
        <v>420</v>
      </c>
      <c r="AE7" s="83" t="s">
        <v>385</v>
      </c>
      <c r="AF7" s="83" t="s">
        <v>420</v>
      </c>
      <c r="AG7" s="83" t="s">
        <v>385</v>
      </c>
      <c r="AH7" s="72"/>
    </row>
    <row r="8" spans="1:34" s="64" customFormat="1" ht="15.75" x14ac:dyDescent="0.4">
      <c r="A8" s="64" t="s">
        <v>419</v>
      </c>
      <c r="B8" s="92" t="s">
        <v>3</v>
      </c>
      <c r="C8" s="92" t="s">
        <v>89</v>
      </c>
      <c r="D8" s="92" t="s">
        <v>333</v>
      </c>
      <c r="E8" s="85" t="s">
        <v>424</v>
      </c>
      <c r="F8" s="85" t="s">
        <v>373</v>
      </c>
      <c r="G8" s="85" t="s">
        <v>429</v>
      </c>
      <c r="H8" s="85" t="s">
        <v>430</v>
      </c>
      <c r="I8" s="87" t="s">
        <v>43</v>
      </c>
      <c r="J8" s="87" t="s">
        <v>44</v>
      </c>
      <c r="K8" s="87" t="s">
        <v>45</v>
      </c>
      <c r="L8" s="87" t="s">
        <v>41</v>
      </c>
      <c r="M8" s="87" t="s">
        <v>42</v>
      </c>
      <c r="N8" s="87" t="s">
        <v>46</v>
      </c>
      <c r="O8" s="87" t="s">
        <v>47</v>
      </c>
      <c r="P8" s="87" t="s">
        <v>48</v>
      </c>
      <c r="Q8" s="87" t="s">
        <v>49</v>
      </c>
      <c r="R8" s="87" t="s">
        <v>50</v>
      </c>
      <c r="S8" s="87" t="s">
        <v>51</v>
      </c>
      <c r="T8" s="87" t="s">
        <v>275</v>
      </c>
      <c r="U8" s="82" t="s">
        <v>58</v>
      </c>
      <c r="V8" s="82" t="s">
        <v>59</v>
      </c>
      <c r="W8" s="82" t="s">
        <v>291</v>
      </c>
      <c r="X8" s="80" t="s">
        <v>62</v>
      </c>
      <c r="Y8" s="80" t="s">
        <v>415</v>
      </c>
      <c r="Z8" s="80" t="s">
        <v>416</v>
      </c>
      <c r="AA8" s="80" t="s">
        <v>279</v>
      </c>
      <c r="AB8" s="80" t="s">
        <v>280</v>
      </c>
      <c r="AC8" s="80" t="s">
        <v>305</v>
      </c>
      <c r="AD8" s="85" t="s">
        <v>52</v>
      </c>
      <c r="AE8" s="85" t="s">
        <v>53</v>
      </c>
      <c r="AF8" s="85" t="s">
        <v>54</v>
      </c>
      <c r="AG8" s="85" t="s">
        <v>55</v>
      </c>
      <c r="AH8" s="77"/>
    </row>
    <row r="9" spans="1:34" s="63" customFormat="1" x14ac:dyDescent="0.4">
      <c r="B9" s="67" t="s">
        <v>338</v>
      </c>
      <c r="C9" s="71" t="str">
        <f>E9&amp;"#"&amp;D9</f>
        <v>latest_id#0</v>
      </c>
      <c r="D9" s="76">
        <v>0</v>
      </c>
      <c r="E9" s="76" t="s">
        <v>362</v>
      </c>
      <c r="F9" s="76">
        <v>31</v>
      </c>
      <c r="G9" s="76" t="s">
        <v>355</v>
      </c>
      <c r="H9" s="76" t="s">
        <v>355</v>
      </c>
      <c r="I9" s="76" t="s">
        <v>91</v>
      </c>
      <c r="J9" s="76" t="s">
        <v>91</v>
      </c>
      <c r="K9" s="76" t="s">
        <v>91</v>
      </c>
      <c r="L9" s="76" t="s">
        <v>91</v>
      </c>
      <c r="M9" s="76" t="s">
        <v>91</v>
      </c>
      <c r="N9" s="76" t="s">
        <v>91</v>
      </c>
      <c r="O9" s="76" t="s">
        <v>91</v>
      </c>
      <c r="P9" s="76" t="s">
        <v>91</v>
      </c>
      <c r="Q9" s="76" t="s">
        <v>91</v>
      </c>
      <c r="R9" s="76" t="s">
        <v>91</v>
      </c>
      <c r="S9" s="76" t="s">
        <v>91</v>
      </c>
      <c r="T9" s="76" t="s">
        <v>91</v>
      </c>
      <c r="U9" s="76" t="s">
        <v>91</v>
      </c>
      <c r="V9" s="76" t="s">
        <v>91</v>
      </c>
      <c r="W9" s="76" t="s">
        <v>91</v>
      </c>
      <c r="X9" s="76" t="s">
        <v>91</v>
      </c>
      <c r="Y9" s="76" t="s">
        <v>91</v>
      </c>
      <c r="Z9" s="76" t="s">
        <v>91</v>
      </c>
      <c r="AA9" s="76"/>
      <c r="AB9" s="76"/>
      <c r="AC9" s="76" t="s">
        <v>91</v>
      </c>
      <c r="AD9" s="76" t="s">
        <v>91</v>
      </c>
      <c r="AE9" s="76" t="s">
        <v>91</v>
      </c>
      <c r="AF9" s="76" t="s">
        <v>91</v>
      </c>
      <c r="AG9" s="76" t="s">
        <v>91</v>
      </c>
      <c r="AH9" s="76"/>
    </row>
    <row r="10" spans="1:34" s="63" customFormat="1" x14ac:dyDescent="0.4">
      <c r="B10" s="68"/>
      <c r="C10" s="72" t="str">
        <f>E10&amp;"#"&amp;D10</f>
        <v>data#1</v>
      </c>
      <c r="D10" s="89">
        <v>1</v>
      </c>
      <c r="E10" s="72" t="s">
        <v>339</v>
      </c>
      <c r="F10" s="72" t="s">
        <v>91</v>
      </c>
      <c r="G10" s="72" t="s">
        <v>355</v>
      </c>
      <c r="H10" s="72" t="s">
        <v>355</v>
      </c>
      <c r="I10" s="72">
        <v>22</v>
      </c>
      <c r="J10" s="72">
        <v>43</v>
      </c>
      <c r="K10" s="72">
        <v>9</v>
      </c>
      <c r="L10" s="72" t="s">
        <v>357</v>
      </c>
      <c r="M10" s="72" t="s">
        <v>358</v>
      </c>
      <c r="N10" s="72" t="s">
        <v>363</v>
      </c>
      <c r="O10" s="72" t="s">
        <v>364</v>
      </c>
      <c r="P10" s="72" t="s">
        <v>365</v>
      </c>
      <c r="Q10" s="72" t="s">
        <v>365</v>
      </c>
      <c r="R10" s="72" t="s">
        <v>365</v>
      </c>
      <c r="S10" s="72" t="s">
        <v>356</v>
      </c>
      <c r="T10" s="72" t="s">
        <v>91</v>
      </c>
      <c r="U10" s="72" t="s">
        <v>91</v>
      </c>
      <c r="V10" s="72" t="s">
        <v>91</v>
      </c>
      <c r="W10" s="72" t="s">
        <v>91</v>
      </c>
      <c r="X10" s="72" t="s">
        <v>91</v>
      </c>
      <c r="Y10" s="72" t="s">
        <v>91</v>
      </c>
      <c r="Z10" s="72" t="s">
        <v>91</v>
      </c>
      <c r="AA10" s="72"/>
      <c r="AB10" s="72"/>
      <c r="AC10" s="72" t="s">
        <v>91</v>
      </c>
      <c r="AD10" s="72" t="s">
        <v>366</v>
      </c>
      <c r="AE10" s="72">
        <v>111</v>
      </c>
      <c r="AF10" s="72" t="s">
        <v>366</v>
      </c>
      <c r="AG10" s="72">
        <v>222</v>
      </c>
      <c r="AH10" s="72"/>
    </row>
    <row r="11" spans="1:34" s="63" customFormat="1" x14ac:dyDescent="0.4">
      <c r="B11" s="68"/>
      <c r="C11" s="72" t="str">
        <f>E11&amp;"#"&amp;D10</f>
        <v>count#1</v>
      </c>
      <c r="D11" s="76"/>
      <c r="E11" s="72" t="s">
        <v>340</v>
      </c>
      <c r="F11" s="72" t="s">
        <v>91</v>
      </c>
      <c r="G11" s="72" t="s">
        <v>354</v>
      </c>
      <c r="H11" s="72">
        <v>3</v>
      </c>
      <c r="I11" s="72" t="s">
        <v>91</v>
      </c>
      <c r="J11" s="72" t="s">
        <v>91</v>
      </c>
      <c r="K11" s="72" t="s">
        <v>91</v>
      </c>
      <c r="L11" s="72" t="s">
        <v>91</v>
      </c>
      <c r="M11" s="72" t="s">
        <v>91</v>
      </c>
      <c r="N11" s="72" t="s">
        <v>91</v>
      </c>
      <c r="O11" s="72" t="s">
        <v>91</v>
      </c>
      <c r="P11" s="72" t="s">
        <v>91</v>
      </c>
      <c r="Q11" s="72" t="s">
        <v>91</v>
      </c>
      <c r="R11" s="72" t="s">
        <v>91</v>
      </c>
      <c r="S11" s="72" t="s">
        <v>91</v>
      </c>
      <c r="T11" s="72">
        <v>3</v>
      </c>
      <c r="U11" s="72" t="s">
        <v>91</v>
      </c>
      <c r="V11" s="72" t="s">
        <v>91</v>
      </c>
      <c r="W11" s="72" t="s">
        <v>91</v>
      </c>
      <c r="X11" s="72" t="s">
        <v>91</v>
      </c>
      <c r="Y11" s="72" t="s">
        <v>91</v>
      </c>
      <c r="Z11" s="72" t="s">
        <v>91</v>
      </c>
      <c r="AA11" s="72"/>
      <c r="AB11" s="72"/>
      <c r="AC11" s="72" t="s">
        <v>91</v>
      </c>
      <c r="AD11" s="72" t="s">
        <v>91</v>
      </c>
      <c r="AE11" s="72" t="s">
        <v>91</v>
      </c>
      <c r="AF11" s="72" t="s">
        <v>91</v>
      </c>
      <c r="AG11" s="72" t="s">
        <v>91</v>
      </c>
      <c r="AH11" s="72"/>
    </row>
    <row r="12" spans="1:34" s="63" customFormat="1" x14ac:dyDescent="0.4">
      <c r="B12" s="68"/>
      <c r="C12" s="72" t="str">
        <f>E12&amp;"#"&amp;D12</f>
        <v>data#2</v>
      </c>
      <c r="D12" s="89">
        <v>2</v>
      </c>
      <c r="E12" s="72" t="s">
        <v>339</v>
      </c>
      <c r="F12" s="72" t="s">
        <v>91</v>
      </c>
      <c r="G12" s="72" t="s">
        <v>355</v>
      </c>
      <c r="H12" s="72" t="s">
        <v>355</v>
      </c>
      <c r="I12" s="72">
        <v>31</v>
      </c>
      <c r="J12" s="72">
        <v>2</v>
      </c>
      <c r="K12" s="72">
        <v>56</v>
      </c>
      <c r="L12" s="72" t="s">
        <v>359</v>
      </c>
      <c r="M12" s="72" t="s">
        <v>360</v>
      </c>
      <c r="N12" s="72" t="s">
        <v>367</v>
      </c>
      <c r="O12" s="72" t="s">
        <v>368</v>
      </c>
      <c r="P12" s="72" t="s">
        <v>369</v>
      </c>
      <c r="Q12" s="72" t="s">
        <v>369</v>
      </c>
      <c r="R12" s="72" t="s">
        <v>369</v>
      </c>
      <c r="S12" s="72" t="s">
        <v>370</v>
      </c>
      <c r="T12" s="72" t="s">
        <v>91</v>
      </c>
      <c r="U12" s="72" t="s">
        <v>91</v>
      </c>
      <c r="V12" s="72" t="s">
        <v>91</v>
      </c>
      <c r="W12" s="72" t="s">
        <v>91</v>
      </c>
      <c r="X12" s="72" t="s">
        <v>91</v>
      </c>
      <c r="Y12" s="72" t="s">
        <v>91</v>
      </c>
      <c r="Z12" s="72" t="s">
        <v>91</v>
      </c>
      <c r="AA12" s="72"/>
      <c r="AB12" s="72"/>
      <c r="AC12" s="72" t="s">
        <v>91</v>
      </c>
      <c r="AD12" s="72" t="s">
        <v>366</v>
      </c>
      <c r="AE12" s="72">
        <v>111</v>
      </c>
      <c r="AF12" s="72" t="s">
        <v>366</v>
      </c>
      <c r="AG12" s="72">
        <v>222</v>
      </c>
      <c r="AH12" s="72"/>
    </row>
    <row r="13" spans="1:34" s="63" customFormat="1" x14ac:dyDescent="0.4">
      <c r="B13" s="68"/>
      <c r="C13" s="72" t="str">
        <f>E13&amp;"#"&amp;D12</f>
        <v>count#2</v>
      </c>
      <c r="D13" s="76"/>
      <c r="E13" s="72" t="s">
        <v>340</v>
      </c>
      <c r="F13" s="72" t="s">
        <v>91</v>
      </c>
      <c r="G13" s="72" t="s">
        <v>354</v>
      </c>
      <c r="H13" s="72">
        <v>6</v>
      </c>
      <c r="I13" s="72" t="s">
        <v>91</v>
      </c>
      <c r="J13" s="72" t="s">
        <v>91</v>
      </c>
      <c r="K13" s="72" t="s">
        <v>91</v>
      </c>
      <c r="L13" s="72" t="s">
        <v>91</v>
      </c>
      <c r="M13" s="72" t="s">
        <v>91</v>
      </c>
      <c r="N13" s="72" t="s">
        <v>91</v>
      </c>
      <c r="O13" s="72" t="s">
        <v>91</v>
      </c>
      <c r="P13" s="72" t="s">
        <v>91</v>
      </c>
      <c r="Q13" s="72" t="s">
        <v>91</v>
      </c>
      <c r="R13" s="72" t="s">
        <v>91</v>
      </c>
      <c r="S13" s="72" t="s">
        <v>91</v>
      </c>
      <c r="T13" s="72">
        <v>12</v>
      </c>
      <c r="U13" s="72" t="s">
        <v>91</v>
      </c>
      <c r="V13" s="72" t="s">
        <v>91</v>
      </c>
      <c r="W13" s="72" t="s">
        <v>91</v>
      </c>
      <c r="X13" s="72" t="s">
        <v>91</v>
      </c>
      <c r="Y13" s="72" t="s">
        <v>91</v>
      </c>
      <c r="Z13" s="72" t="s">
        <v>91</v>
      </c>
      <c r="AA13" s="72"/>
      <c r="AB13" s="72"/>
      <c r="AC13" s="72" t="s">
        <v>91</v>
      </c>
      <c r="AD13" s="72" t="s">
        <v>91</v>
      </c>
      <c r="AE13" s="72" t="s">
        <v>91</v>
      </c>
      <c r="AF13" s="72" t="s">
        <v>91</v>
      </c>
      <c r="AG13" s="72" t="s">
        <v>91</v>
      </c>
      <c r="AH13" s="72"/>
    </row>
    <row r="14" spans="1:34" s="63" customFormat="1" x14ac:dyDescent="0.4">
      <c r="B14" s="68"/>
      <c r="C14" s="73" t="str">
        <f>E14&amp;"#"&amp;D14</f>
        <v>DEL#data#3</v>
      </c>
      <c r="D14" s="89">
        <v>3</v>
      </c>
      <c r="E14" s="73" t="s">
        <v>386</v>
      </c>
      <c r="F14" s="72" t="s">
        <v>91</v>
      </c>
      <c r="G14" s="72" t="s">
        <v>355</v>
      </c>
      <c r="H14" s="72" t="s">
        <v>355</v>
      </c>
      <c r="I14" s="73" t="s">
        <v>394</v>
      </c>
      <c r="J14" s="73" t="s">
        <v>395</v>
      </c>
      <c r="K14" s="73" t="s">
        <v>396</v>
      </c>
      <c r="L14" s="72" t="s">
        <v>387</v>
      </c>
      <c r="M14" s="72" t="s">
        <v>388</v>
      </c>
      <c r="N14" s="72" t="s">
        <v>389</v>
      </c>
      <c r="O14" s="72" t="s">
        <v>390</v>
      </c>
      <c r="P14" s="72" t="s">
        <v>391</v>
      </c>
      <c r="Q14" s="72" t="s">
        <v>391</v>
      </c>
      <c r="R14" s="72" t="s">
        <v>391</v>
      </c>
      <c r="S14" s="72" t="s">
        <v>392</v>
      </c>
      <c r="T14" s="72" t="s">
        <v>91</v>
      </c>
      <c r="U14" s="72" t="s">
        <v>91</v>
      </c>
      <c r="V14" s="72" t="s">
        <v>91</v>
      </c>
      <c r="W14" s="72" t="s">
        <v>91</v>
      </c>
      <c r="X14" s="72" t="s">
        <v>91</v>
      </c>
      <c r="Y14" s="72" t="s">
        <v>91</v>
      </c>
      <c r="Z14" s="72" t="s">
        <v>91</v>
      </c>
      <c r="AA14" s="72"/>
      <c r="AB14" s="72"/>
      <c r="AC14" s="72" t="s">
        <v>91</v>
      </c>
      <c r="AD14" s="74" t="s">
        <v>366</v>
      </c>
      <c r="AE14" s="74">
        <v>111</v>
      </c>
      <c r="AF14" s="73" t="s">
        <v>397</v>
      </c>
      <c r="AG14" s="73">
        <v>333</v>
      </c>
      <c r="AH14" s="72"/>
    </row>
    <row r="15" spans="1:34" s="63" customFormat="1" x14ac:dyDescent="0.4">
      <c r="B15" s="68"/>
      <c r="C15" s="72" t="str">
        <f>E15&amp;"#"&amp;D14</f>
        <v>count#3</v>
      </c>
      <c r="D15" s="76"/>
      <c r="E15" s="72" t="s">
        <v>340</v>
      </c>
      <c r="F15" s="72" t="s">
        <v>91</v>
      </c>
      <c r="G15" s="73" t="s">
        <v>439</v>
      </c>
      <c r="H15" s="72">
        <v>2</v>
      </c>
      <c r="I15" s="72" t="s">
        <v>91</v>
      </c>
      <c r="J15" s="72" t="s">
        <v>91</v>
      </c>
      <c r="K15" s="72" t="s">
        <v>91</v>
      </c>
      <c r="L15" s="72" t="s">
        <v>91</v>
      </c>
      <c r="M15" s="72" t="s">
        <v>91</v>
      </c>
      <c r="N15" s="72" t="s">
        <v>91</v>
      </c>
      <c r="O15" s="72" t="s">
        <v>91</v>
      </c>
      <c r="P15" s="72" t="s">
        <v>91</v>
      </c>
      <c r="Q15" s="72" t="s">
        <v>91</v>
      </c>
      <c r="R15" s="72" t="s">
        <v>91</v>
      </c>
      <c r="S15" s="72" t="s">
        <v>91</v>
      </c>
      <c r="T15" s="72">
        <v>7</v>
      </c>
      <c r="U15" s="72" t="s">
        <v>91</v>
      </c>
      <c r="V15" s="72" t="s">
        <v>91</v>
      </c>
      <c r="W15" s="72" t="s">
        <v>91</v>
      </c>
      <c r="X15" s="72" t="s">
        <v>91</v>
      </c>
      <c r="Y15" s="72" t="s">
        <v>91</v>
      </c>
      <c r="Z15" s="72" t="s">
        <v>91</v>
      </c>
      <c r="AA15" s="72"/>
      <c r="AB15" s="72"/>
      <c r="AC15" s="72" t="s">
        <v>91</v>
      </c>
      <c r="AD15" s="72" t="s">
        <v>91</v>
      </c>
      <c r="AE15" s="72" t="s">
        <v>91</v>
      </c>
      <c r="AF15" s="72" t="s">
        <v>91</v>
      </c>
      <c r="AG15" s="72" t="s">
        <v>91</v>
      </c>
      <c r="AH15" s="72"/>
    </row>
    <row r="16" spans="1:34" s="63" customFormat="1" x14ac:dyDescent="0.4">
      <c r="B16" s="70"/>
      <c r="C16" s="75"/>
      <c r="D16" s="89" t="s">
        <v>361</v>
      </c>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row>
    <row r="17" spans="2:34" s="63" customFormat="1" x14ac:dyDescent="0.4">
      <c r="B17" s="67" t="s">
        <v>371</v>
      </c>
      <c r="C17" s="71" t="str">
        <f>E17&amp;"#"&amp;D17</f>
        <v>latest_id#0</v>
      </c>
      <c r="D17" s="71">
        <v>0</v>
      </c>
      <c r="E17" s="71" t="s">
        <v>362</v>
      </c>
      <c r="F17" s="71">
        <v>7</v>
      </c>
      <c r="G17" s="71" t="s">
        <v>355</v>
      </c>
      <c r="H17" s="71" t="s">
        <v>355</v>
      </c>
      <c r="I17" s="71" t="s">
        <v>91</v>
      </c>
      <c r="J17" s="71" t="s">
        <v>91</v>
      </c>
      <c r="K17" s="71" t="s">
        <v>91</v>
      </c>
      <c r="L17" s="71" t="s">
        <v>91</v>
      </c>
      <c r="M17" s="71" t="s">
        <v>91</v>
      </c>
      <c r="N17" s="71" t="s">
        <v>91</v>
      </c>
      <c r="O17" s="71" t="s">
        <v>91</v>
      </c>
      <c r="P17" s="71" t="s">
        <v>91</v>
      </c>
      <c r="Q17" s="71" t="s">
        <v>91</v>
      </c>
      <c r="R17" s="71" t="s">
        <v>91</v>
      </c>
      <c r="S17" s="71" t="s">
        <v>91</v>
      </c>
      <c r="T17" s="71" t="s">
        <v>91</v>
      </c>
      <c r="U17" s="71" t="s">
        <v>91</v>
      </c>
      <c r="V17" s="71" t="s">
        <v>91</v>
      </c>
      <c r="W17" s="71" t="s">
        <v>91</v>
      </c>
      <c r="X17" s="71" t="s">
        <v>91</v>
      </c>
      <c r="Y17" s="71" t="s">
        <v>91</v>
      </c>
      <c r="Z17" s="71" t="s">
        <v>91</v>
      </c>
      <c r="AA17" s="71"/>
      <c r="AB17" s="71"/>
      <c r="AC17" s="71" t="s">
        <v>91</v>
      </c>
      <c r="AD17" s="71" t="s">
        <v>91</v>
      </c>
      <c r="AE17" s="71" t="s">
        <v>91</v>
      </c>
      <c r="AF17" s="71" t="s">
        <v>91</v>
      </c>
      <c r="AG17" s="71" t="s">
        <v>91</v>
      </c>
      <c r="AH17" s="71"/>
    </row>
    <row r="18" spans="2:34" s="63" customFormat="1" x14ac:dyDescent="0.4">
      <c r="B18" s="68"/>
      <c r="C18" s="72" t="str">
        <f>E18&amp;"#"&amp;D18</f>
        <v>data#1</v>
      </c>
      <c r="D18" s="89">
        <v>1</v>
      </c>
      <c r="E18" s="72" t="s">
        <v>339</v>
      </c>
      <c r="F18" s="72" t="s">
        <v>91</v>
      </c>
      <c r="G18" s="72" t="s">
        <v>91</v>
      </c>
      <c r="H18" s="72" t="s">
        <v>91</v>
      </c>
      <c r="I18" s="72" t="s">
        <v>91</v>
      </c>
      <c r="J18" s="72" t="s">
        <v>91</v>
      </c>
      <c r="K18" s="72" t="s">
        <v>91</v>
      </c>
      <c r="L18" s="72" t="s">
        <v>91</v>
      </c>
      <c r="M18" s="72" t="s">
        <v>91</v>
      </c>
      <c r="N18" s="72" t="s">
        <v>91</v>
      </c>
      <c r="O18" s="72" t="s">
        <v>91</v>
      </c>
      <c r="P18" s="72" t="s">
        <v>91</v>
      </c>
      <c r="Q18" s="72" t="s">
        <v>91</v>
      </c>
      <c r="R18" s="72" t="s">
        <v>91</v>
      </c>
      <c r="S18" s="72" t="s">
        <v>91</v>
      </c>
      <c r="T18" s="72" t="s">
        <v>91</v>
      </c>
      <c r="U18" s="72">
        <v>1</v>
      </c>
      <c r="V18" s="72" t="s">
        <v>378</v>
      </c>
      <c r="W18" s="72" t="s">
        <v>91</v>
      </c>
      <c r="X18" s="72" t="s">
        <v>91</v>
      </c>
      <c r="Y18" s="72" t="s">
        <v>91</v>
      </c>
      <c r="Z18" s="72" t="s">
        <v>91</v>
      </c>
      <c r="AA18" s="72"/>
      <c r="AB18" s="72"/>
      <c r="AC18" s="72" t="s">
        <v>91</v>
      </c>
      <c r="AD18" s="72" t="s">
        <v>366</v>
      </c>
      <c r="AE18" s="72">
        <v>111</v>
      </c>
      <c r="AF18" s="72" t="s">
        <v>366</v>
      </c>
      <c r="AG18" s="72">
        <v>222</v>
      </c>
      <c r="AH18" s="72"/>
    </row>
    <row r="19" spans="2:34" s="63" customFormat="1" x14ac:dyDescent="0.4">
      <c r="B19" s="68"/>
      <c r="C19" s="72" t="str">
        <f>E19&amp;"#"&amp;D18</f>
        <v>count#1</v>
      </c>
      <c r="D19" s="76"/>
      <c r="E19" s="72" t="s">
        <v>340</v>
      </c>
      <c r="F19" s="72" t="s">
        <v>91</v>
      </c>
      <c r="G19" s="72" t="s">
        <v>377</v>
      </c>
      <c r="H19" s="72">
        <v>2</v>
      </c>
      <c r="I19" s="72" t="s">
        <v>91</v>
      </c>
      <c r="J19" s="72" t="s">
        <v>91</v>
      </c>
      <c r="K19" s="72" t="s">
        <v>91</v>
      </c>
      <c r="L19" s="72" t="s">
        <v>91</v>
      </c>
      <c r="M19" s="72" t="s">
        <v>91</v>
      </c>
      <c r="N19" s="72" t="s">
        <v>91</v>
      </c>
      <c r="O19" s="72" t="s">
        <v>91</v>
      </c>
      <c r="P19" s="72" t="s">
        <v>91</v>
      </c>
      <c r="Q19" s="72" t="s">
        <v>91</v>
      </c>
      <c r="R19" s="72" t="s">
        <v>91</v>
      </c>
      <c r="S19" s="72" t="s">
        <v>91</v>
      </c>
      <c r="T19" s="72" t="s">
        <v>91</v>
      </c>
      <c r="U19" s="72" t="s">
        <v>91</v>
      </c>
      <c r="V19" s="72" t="s">
        <v>91</v>
      </c>
      <c r="W19" s="72">
        <v>3</v>
      </c>
      <c r="X19" s="72" t="s">
        <v>91</v>
      </c>
      <c r="Y19" s="72" t="s">
        <v>91</v>
      </c>
      <c r="Z19" s="72" t="s">
        <v>91</v>
      </c>
      <c r="AA19" s="72"/>
      <c r="AB19" s="72"/>
      <c r="AC19" s="72" t="s">
        <v>91</v>
      </c>
      <c r="AD19" s="72" t="s">
        <v>91</v>
      </c>
      <c r="AE19" s="72" t="s">
        <v>91</v>
      </c>
      <c r="AF19" s="72" t="s">
        <v>91</v>
      </c>
      <c r="AG19" s="72" t="s">
        <v>91</v>
      </c>
      <c r="AH19" s="72"/>
    </row>
    <row r="20" spans="2:34" s="63" customFormat="1" x14ac:dyDescent="0.4">
      <c r="B20" s="68"/>
      <c r="C20" s="72" t="str">
        <f>E20&amp;"#"&amp;D20</f>
        <v>data#2</v>
      </c>
      <c r="D20" s="89">
        <v>2</v>
      </c>
      <c r="E20" s="72" t="s">
        <v>339</v>
      </c>
      <c r="F20" s="72" t="s">
        <v>91</v>
      </c>
      <c r="G20" s="72" t="s">
        <v>91</v>
      </c>
      <c r="H20" s="72" t="s">
        <v>91</v>
      </c>
      <c r="I20" s="72" t="s">
        <v>91</v>
      </c>
      <c r="J20" s="72" t="s">
        <v>91</v>
      </c>
      <c r="K20" s="72" t="s">
        <v>91</v>
      </c>
      <c r="L20" s="72" t="s">
        <v>91</v>
      </c>
      <c r="M20" s="72" t="s">
        <v>91</v>
      </c>
      <c r="N20" s="72" t="s">
        <v>91</v>
      </c>
      <c r="O20" s="72" t="s">
        <v>91</v>
      </c>
      <c r="P20" s="72" t="s">
        <v>91</v>
      </c>
      <c r="Q20" s="72" t="s">
        <v>91</v>
      </c>
      <c r="R20" s="72" t="s">
        <v>91</v>
      </c>
      <c r="S20" s="72" t="s">
        <v>91</v>
      </c>
      <c r="T20" s="72" t="s">
        <v>91</v>
      </c>
      <c r="U20" s="72">
        <v>2</v>
      </c>
      <c r="V20" s="72" t="s">
        <v>379</v>
      </c>
      <c r="W20" s="72" t="s">
        <v>91</v>
      </c>
      <c r="X20" s="72" t="s">
        <v>91</v>
      </c>
      <c r="Y20" s="72" t="s">
        <v>91</v>
      </c>
      <c r="Z20" s="72" t="s">
        <v>91</v>
      </c>
      <c r="AA20" s="72"/>
      <c r="AB20" s="72"/>
      <c r="AC20" s="72" t="s">
        <v>91</v>
      </c>
      <c r="AD20" s="72" t="s">
        <v>366</v>
      </c>
      <c r="AE20" s="72">
        <v>111</v>
      </c>
      <c r="AF20" s="72" t="s">
        <v>366</v>
      </c>
      <c r="AG20" s="72">
        <v>222</v>
      </c>
      <c r="AH20" s="72"/>
    </row>
    <row r="21" spans="2:34" s="63" customFormat="1" x14ac:dyDescent="0.4">
      <c r="B21" s="68"/>
      <c r="C21" s="72" t="str">
        <f>E21&amp;"#"&amp;D20</f>
        <v>count#2</v>
      </c>
      <c r="D21" s="76"/>
      <c r="E21" s="72" t="s">
        <v>340</v>
      </c>
      <c r="F21" s="72" t="s">
        <v>91</v>
      </c>
      <c r="G21" s="72" t="s">
        <v>377</v>
      </c>
      <c r="H21" s="72">
        <v>13</v>
      </c>
      <c r="I21" s="72" t="s">
        <v>91</v>
      </c>
      <c r="J21" s="72" t="s">
        <v>91</v>
      </c>
      <c r="K21" s="72" t="s">
        <v>91</v>
      </c>
      <c r="L21" s="72" t="s">
        <v>91</v>
      </c>
      <c r="M21" s="72" t="s">
        <v>91</v>
      </c>
      <c r="N21" s="72" t="s">
        <v>91</v>
      </c>
      <c r="O21" s="72" t="s">
        <v>91</v>
      </c>
      <c r="P21" s="72" t="s">
        <v>91</v>
      </c>
      <c r="Q21" s="72" t="s">
        <v>91</v>
      </c>
      <c r="R21" s="72" t="s">
        <v>91</v>
      </c>
      <c r="S21" s="72" t="s">
        <v>91</v>
      </c>
      <c r="T21" s="72" t="s">
        <v>91</v>
      </c>
      <c r="U21" s="72" t="s">
        <v>91</v>
      </c>
      <c r="V21" s="72" t="s">
        <v>91</v>
      </c>
      <c r="W21" s="72">
        <v>2</v>
      </c>
      <c r="X21" s="72" t="s">
        <v>91</v>
      </c>
      <c r="Y21" s="72" t="s">
        <v>91</v>
      </c>
      <c r="Z21" s="72" t="s">
        <v>91</v>
      </c>
      <c r="AA21" s="72"/>
      <c r="AB21" s="72"/>
      <c r="AC21" s="72" t="s">
        <v>91</v>
      </c>
      <c r="AD21" s="72" t="s">
        <v>91</v>
      </c>
      <c r="AE21" s="72" t="s">
        <v>91</v>
      </c>
      <c r="AF21" s="72" t="s">
        <v>91</v>
      </c>
      <c r="AG21" s="72" t="s">
        <v>91</v>
      </c>
      <c r="AH21" s="72"/>
    </row>
    <row r="22" spans="2:34" s="63" customFormat="1" x14ac:dyDescent="0.4">
      <c r="B22" s="68"/>
      <c r="C22" s="73" t="str">
        <f>E22&amp;"#"&amp;D22</f>
        <v>DEL#data#3</v>
      </c>
      <c r="D22" s="89">
        <v>3</v>
      </c>
      <c r="E22" s="73" t="s">
        <v>386</v>
      </c>
      <c r="F22" s="72" t="s">
        <v>91</v>
      </c>
      <c r="G22" s="72" t="s">
        <v>91</v>
      </c>
      <c r="H22" s="72" t="s">
        <v>91</v>
      </c>
      <c r="I22" s="72" t="s">
        <v>91</v>
      </c>
      <c r="J22" s="72" t="s">
        <v>91</v>
      </c>
      <c r="K22" s="72" t="s">
        <v>91</v>
      </c>
      <c r="L22" s="72" t="s">
        <v>91</v>
      </c>
      <c r="M22" s="72" t="s">
        <v>91</v>
      </c>
      <c r="N22" s="72" t="s">
        <v>91</v>
      </c>
      <c r="O22" s="72" t="s">
        <v>91</v>
      </c>
      <c r="P22" s="72" t="s">
        <v>91</v>
      </c>
      <c r="Q22" s="72" t="s">
        <v>91</v>
      </c>
      <c r="R22" s="72" t="s">
        <v>91</v>
      </c>
      <c r="S22" s="72" t="s">
        <v>91</v>
      </c>
      <c r="T22" s="72" t="s">
        <v>91</v>
      </c>
      <c r="U22" s="73" t="s">
        <v>398</v>
      </c>
      <c r="V22" s="72" t="s">
        <v>431</v>
      </c>
      <c r="W22" s="72" t="s">
        <v>91</v>
      </c>
      <c r="X22" s="72" t="s">
        <v>91</v>
      </c>
      <c r="Y22" s="72" t="s">
        <v>91</v>
      </c>
      <c r="Z22" s="72" t="s">
        <v>91</v>
      </c>
      <c r="AA22" s="72"/>
      <c r="AB22" s="72"/>
      <c r="AC22" s="72" t="s">
        <v>91</v>
      </c>
      <c r="AD22" s="72" t="s">
        <v>366</v>
      </c>
      <c r="AE22" s="72">
        <v>111</v>
      </c>
      <c r="AF22" s="73" t="s">
        <v>397</v>
      </c>
      <c r="AG22" s="73">
        <v>333</v>
      </c>
      <c r="AH22" s="72"/>
    </row>
    <row r="23" spans="2:34" s="63" customFormat="1" x14ac:dyDescent="0.4">
      <c r="B23" s="68"/>
      <c r="C23" s="72" t="str">
        <f>E23&amp;"#"&amp;D22</f>
        <v>count#3</v>
      </c>
      <c r="D23" s="76"/>
      <c r="E23" s="72" t="s">
        <v>340</v>
      </c>
      <c r="F23" s="72" t="s">
        <v>91</v>
      </c>
      <c r="G23" s="73" t="s">
        <v>438</v>
      </c>
      <c r="H23" s="72">
        <v>5</v>
      </c>
      <c r="I23" s="72" t="s">
        <v>91</v>
      </c>
      <c r="J23" s="72" t="s">
        <v>91</v>
      </c>
      <c r="K23" s="72" t="s">
        <v>91</v>
      </c>
      <c r="L23" s="72" t="s">
        <v>91</v>
      </c>
      <c r="M23" s="72" t="s">
        <v>91</v>
      </c>
      <c r="N23" s="72" t="s">
        <v>91</v>
      </c>
      <c r="O23" s="72" t="s">
        <v>91</v>
      </c>
      <c r="P23" s="72" t="s">
        <v>91</v>
      </c>
      <c r="Q23" s="72" t="s">
        <v>91</v>
      </c>
      <c r="R23" s="72" t="s">
        <v>91</v>
      </c>
      <c r="S23" s="72" t="s">
        <v>91</v>
      </c>
      <c r="T23" s="72" t="s">
        <v>91</v>
      </c>
      <c r="U23" s="72" t="s">
        <v>91</v>
      </c>
      <c r="V23" s="72" t="s">
        <v>91</v>
      </c>
      <c r="W23" s="72">
        <v>12</v>
      </c>
      <c r="X23" s="72" t="s">
        <v>91</v>
      </c>
      <c r="Y23" s="72" t="s">
        <v>91</v>
      </c>
      <c r="Z23" s="72" t="s">
        <v>91</v>
      </c>
      <c r="AA23" s="72"/>
      <c r="AB23" s="72"/>
      <c r="AC23" s="72" t="s">
        <v>91</v>
      </c>
      <c r="AD23" s="72" t="s">
        <v>91</v>
      </c>
      <c r="AE23" s="72" t="s">
        <v>91</v>
      </c>
      <c r="AF23" s="72" t="s">
        <v>91</v>
      </c>
      <c r="AG23" s="72" t="s">
        <v>91</v>
      </c>
      <c r="AH23" s="72"/>
    </row>
    <row r="24" spans="2:34" s="63" customFormat="1" x14ac:dyDescent="0.4">
      <c r="B24" s="70"/>
      <c r="C24" s="70"/>
      <c r="D24" s="75" t="s">
        <v>361</v>
      </c>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row>
    <row r="25" spans="2:34" s="63" customFormat="1" x14ac:dyDescent="0.4">
      <c r="B25" s="67" t="s">
        <v>372</v>
      </c>
      <c r="C25" s="71" t="str">
        <f>E25&amp;"#"&amp;D25</f>
        <v>latest_id#0</v>
      </c>
      <c r="D25" s="76">
        <v>0</v>
      </c>
      <c r="E25" s="76" t="s">
        <v>362</v>
      </c>
      <c r="F25" s="76">
        <v>13</v>
      </c>
      <c r="G25" s="76" t="s">
        <v>355</v>
      </c>
      <c r="H25" s="76" t="s">
        <v>355</v>
      </c>
      <c r="I25" s="76" t="s">
        <v>91</v>
      </c>
      <c r="J25" s="76" t="s">
        <v>91</v>
      </c>
      <c r="K25" s="76" t="s">
        <v>91</v>
      </c>
      <c r="L25" s="76" t="s">
        <v>91</v>
      </c>
      <c r="M25" s="76" t="s">
        <v>91</v>
      </c>
      <c r="N25" s="76" t="s">
        <v>91</v>
      </c>
      <c r="O25" s="76" t="s">
        <v>91</v>
      </c>
      <c r="P25" s="76" t="s">
        <v>91</v>
      </c>
      <c r="Q25" s="76" t="s">
        <v>91</v>
      </c>
      <c r="R25" s="76" t="s">
        <v>91</v>
      </c>
      <c r="S25" s="76" t="s">
        <v>91</v>
      </c>
      <c r="T25" s="76" t="s">
        <v>91</v>
      </c>
      <c r="U25" s="76" t="s">
        <v>91</v>
      </c>
      <c r="V25" s="76" t="s">
        <v>91</v>
      </c>
      <c r="W25" s="76" t="s">
        <v>91</v>
      </c>
      <c r="X25" s="76" t="s">
        <v>91</v>
      </c>
      <c r="Y25" s="76" t="s">
        <v>91</v>
      </c>
      <c r="Z25" s="76" t="s">
        <v>91</v>
      </c>
      <c r="AA25" s="76"/>
      <c r="AB25" s="76"/>
      <c r="AC25" s="76" t="s">
        <v>91</v>
      </c>
      <c r="AD25" s="76" t="s">
        <v>91</v>
      </c>
      <c r="AE25" s="76" t="s">
        <v>91</v>
      </c>
      <c r="AF25" s="76" t="s">
        <v>91</v>
      </c>
      <c r="AG25" s="76" t="s">
        <v>91</v>
      </c>
      <c r="AH25" s="76"/>
    </row>
    <row r="26" spans="2:34" s="63" customFormat="1" x14ac:dyDescent="0.4">
      <c r="B26" s="68"/>
      <c r="C26" s="72" t="str">
        <f>E26&amp;"#"&amp;D26</f>
        <v>data#1</v>
      </c>
      <c r="D26" s="89">
        <v>1</v>
      </c>
      <c r="E26" s="72" t="s">
        <v>339</v>
      </c>
      <c r="F26" s="72" t="s">
        <v>91</v>
      </c>
      <c r="G26" s="72" t="s">
        <v>355</v>
      </c>
      <c r="H26" s="72" t="s">
        <v>355</v>
      </c>
      <c r="I26" s="72" t="s">
        <v>91</v>
      </c>
      <c r="J26" s="72" t="s">
        <v>91</v>
      </c>
      <c r="K26" s="72" t="s">
        <v>91</v>
      </c>
      <c r="L26" s="72" t="s">
        <v>91</v>
      </c>
      <c r="M26" s="72" t="s">
        <v>91</v>
      </c>
      <c r="N26" s="72" t="s">
        <v>91</v>
      </c>
      <c r="O26" s="72" t="s">
        <v>91</v>
      </c>
      <c r="P26" s="72" t="s">
        <v>91</v>
      </c>
      <c r="Q26" s="72" t="s">
        <v>91</v>
      </c>
      <c r="R26" s="72" t="s">
        <v>91</v>
      </c>
      <c r="S26" s="72" t="s">
        <v>91</v>
      </c>
      <c r="T26" s="72" t="s">
        <v>91</v>
      </c>
      <c r="U26" s="72" t="s">
        <v>91</v>
      </c>
      <c r="V26" s="72" t="s">
        <v>91</v>
      </c>
      <c r="W26" s="72" t="s">
        <v>91</v>
      </c>
      <c r="X26" s="72" t="s">
        <v>402</v>
      </c>
      <c r="Y26" s="72" t="s">
        <v>404</v>
      </c>
      <c r="Z26" s="72" t="s">
        <v>403</v>
      </c>
      <c r="AA26" s="72"/>
      <c r="AB26" s="72"/>
      <c r="AC26" s="72"/>
      <c r="AD26" s="72" t="s">
        <v>366</v>
      </c>
      <c r="AE26" s="72">
        <v>111</v>
      </c>
      <c r="AF26" s="72" t="s">
        <v>366</v>
      </c>
      <c r="AG26" s="72">
        <v>222</v>
      </c>
      <c r="AH26" s="72"/>
    </row>
    <row r="27" spans="2:34" s="63" customFormat="1" x14ac:dyDescent="0.4">
      <c r="B27" s="68"/>
      <c r="C27" s="72" t="s">
        <v>444</v>
      </c>
      <c r="D27" s="68"/>
      <c r="E27" s="89" t="s">
        <v>340</v>
      </c>
      <c r="F27" s="72" t="s">
        <v>91</v>
      </c>
      <c r="G27" s="72" t="s">
        <v>412</v>
      </c>
      <c r="H27" s="72">
        <v>3</v>
      </c>
      <c r="I27" s="72" t="s">
        <v>91</v>
      </c>
      <c r="J27" s="72" t="s">
        <v>91</v>
      </c>
      <c r="K27" s="72" t="s">
        <v>91</v>
      </c>
      <c r="L27" s="72" t="s">
        <v>91</v>
      </c>
      <c r="M27" s="72" t="s">
        <v>91</v>
      </c>
      <c r="N27" s="72" t="s">
        <v>91</v>
      </c>
      <c r="O27" s="72" t="s">
        <v>91</v>
      </c>
      <c r="P27" s="72" t="s">
        <v>91</v>
      </c>
      <c r="Q27" s="72" t="s">
        <v>91</v>
      </c>
      <c r="R27" s="72" t="s">
        <v>91</v>
      </c>
      <c r="S27" s="72" t="s">
        <v>91</v>
      </c>
      <c r="T27" s="72" t="s">
        <v>91</v>
      </c>
      <c r="U27" s="72" t="s">
        <v>91</v>
      </c>
      <c r="V27" s="72" t="s">
        <v>91</v>
      </c>
      <c r="W27" s="72" t="s">
        <v>91</v>
      </c>
      <c r="X27" s="72" t="s">
        <v>91</v>
      </c>
      <c r="Y27" s="72" t="s">
        <v>91</v>
      </c>
      <c r="Z27" s="72" t="s">
        <v>91</v>
      </c>
      <c r="AA27" s="72"/>
      <c r="AB27" s="72"/>
      <c r="AC27" s="72"/>
      <c r="AD27" s="72" t="s">
        <v>91</v>
      </c>
      <c r="AE27" s="72" t="s">
        <v>91</v>
      </c>
      <c r="AF27" s="72" t="s">
        <v>91</v>
      </c>
      <c r="AG27" s="72" t="s">
        <v>91</v>
      </c>
      <c r="AH27" s="72"/>
    </row>
    <row r="28" spans="2:34" s="63" customFormat="1" x14ac:dyDescent="0.4">
      <c r="B28" s="68"/>
      <c r="C28" s="72" t="s">
        <v>445</v>
      </c>
      <c r="D28" s="68"/>
      <c r="E28" s="68"/>
      <c r="F28" s="72"/>
      <c r="G28" s="72" t="s">
        <v>413</v>
      </c>
      <c r="H28" s="72">
        <v>1</v>
      </c>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row>
    <row r="29" spans="2:34" s="63" customFormat="1" x14ac:dyDescent="0.4">
      <c r="B29" s="68"/>
      <c r="C29" s="72" t="s">
        <v>446</v>
      </c>
      <c r="D29" s="68"/>
      <c r="E29" s="76"/>
      <c r="F29" s="72"/>
      <c r="G29" s="72" t="s">
        <v>414</v>
      </c>
      <c r="H29" s="72">
        <v>4</v>
      </c>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row>
    <row r="30" spans="2:34" s="63" customFormat="1" x14ac:dyDescent="0.4">
      <c r="B30" s="68"/>
      <c r="C30" s="72" t="str">
        <f>E30&amp;"#"&amp;D30</f>
        <v>data#2</v>
      </c>
      <c r="D30" s="89">
        <v>2</v>
      </c>
      <c r="E30" s="72" t="s">
        <v>339</v>
      </c>
      <c r="F30" s="72" t="s">
        <v>91</v>
      </c>
      <c r="G30" s="72" t="s">
        <v>355</v>
      </c>
      <c r="H30" s="72" t="s">
        <v>355</v>
      </c>
      <c r="I30" s="72" t="s">
        <v>91</v>
      </c>
      <c r="J30" s="72" t="s">
        <v>91</v>
      </c>
      <c r="K30" s="72" t="s">
        <v>91</v>
      </c>
      <c r="L30" s="72" t="s">
        <v>91</v>
      </c>
      <c r="M30" s="72" t="s">
        <v>91</v>
      </c>
      <c r="N30" s="72" t="s">
        <v>91</v>
      </c>
      <c r="O30" s="72" t="s">
        <v>91</v>
      </c>
      <c r="P30" s="72" t="s">
        <v>91</v>
      </c>
      <c r="Q30" s="72" t="s">
        <v>91</v>
      </c>
      <c r="R30" s="72" t="s">
        <v>91</v>
      </c>
      <c r="S30" s="72" t="s">
        <v>91</v>
      </c>
      <c r="T30" s="72" t="s">
        <v>91</v>
      </c>
      <c r="U30" s="72" t="s">
        <v>91</v>
      </c>
      <c r="V30" s="72" t="s">
        <v>91</v>
      </c>
      <c r="W30" s="72" t="s">
        <v>91</v>
      </c>
      <c r="X30" s="72" t="s">
        <v>405</v>
      </c>
      <c r="Y30" s="72" t="s">
        <v>406</v>
      </c>
      <c r="Z30" s="72" t="s">
        <v>407</v>
      </c>
      <c r="AA30" s="72"/>
      <c r="AB30" s="72"/>
      <c r="AC30" s="72"/>
      <c r="AD30" s="72" t="s">
        <v>366</v>
      </c>
      <c r="AE30" s="72">
        <v>111</v>
      </c>
      <c r="AF30" s="72" t="s">
        <v>366</v>
      </c>
      <c r="AG30" s="72">
        <v>222</v>
      </c>
      <c r="AH30" s="72"/>
    </row>
    <row r="31" spans="2:34" s="63" customFormat="1" x14ac:dyDescent="0.4">
      <c r="B31" s="68"/>
      <c r="C31" s="72" t="s">
        <v>447</v>
      </c>
      <c r="D31" s="68"/>
      <c r="E31" s="89" t="s">
        <v>340</v>
      </c>
      <c r="F31" s="72" t="s">
        <v>91</v>
      </c>
      <c r="G31" s="72" t="s">
        <v>412</v>
      </c>
      <c r="H31" s="72">
        <v>12</v>
      </c>
      <c r="I31" s="72" t="s">
        <v>91</v>
      </c>
      <c r="J31" s="72" t="s">
        <v>91</v>
      </c>
      <c r="K31" s="72" t="s">
        <v>91</v>
      </c>
      <c r="L31" s="72" t="s">
        <v>91</v>
      </c>
      <c r="M31" s="72" t="s">
        <v>91</v>
      </c>
      <c r="N31" s="72" t="s">
        <v>91</v>
      </c>
      <c r="O31" s="72" t="s">
        <v>91</v>
      </c>
      <c r="P31" s="72" t="s">
        <v>91</v>
      </c>
      <c r="Q31" s="72" t="s">
        <v>91</v>
      </c>
      <c r="R31" s="72" t="s">
        <v>91</v>
      </c>
      <c r="S31" s="72" t="s">
        <v>91</v>
      </c>
      <c r="T31" s="72" t="s">
        <v>91</v>
      </c>
      <c r="U31" s="72" t="s">
        <v>91</v>
      </c>
      <c r="V31" s="72" t="s">
        <v>91</v>
      </c>
      <c r="W31" s="72" t="s">
        <v>91</v>
      </c>
      <c r="X31" s="72" t="s">
        <v>91</v>
      </c>
      <c r="Y31" s="72" t="s">
        <v>91</v>
      </c>
      <c r="Z31" s="72" t="s">
        <v>91</v>
      </c>
      <c r="AA31" s="72"/>
      <c r="AB31" s="72"/>
      <c r="AC31" s="72"/>
      <c r="AD31" s="72" t="s">
        <v>91</v>
      </c>
      <c r="AE31" s="72" t="s">
        <v>91</v>
      </c>
      <c r="AF31" s="72" t="s">
        <v>91</v>
      </c>
      <c r="AG31" s="72" t="s">
        <v>91</v>
      </c>
      <c r="AH31" s="72"/>
    </row>
    <row r="32" spans="2:34" s="63" customFormat="1" x14ac:dyDescent="0.4">
      <c r="B32" s="68"/>
      <c r="C32" s="72" t="s">
        <v>448</v>
      </c>
      <c r="D32" s="68"/>
      <c r="E32" s="68"/>
      <c r="F32" s="72"/>
      <c r="G32" s="72" t="s">
        <v>413</v>
      </c>
      <c r="H32" s="72">
        <v>13</v>
      </c>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row>
    <row r="33" spans="2:34" s="63" customFormat="1" x14ac:dyDescent="0.4">
      <c r="B33" s="68"/>
      <c r="C33" s="72" t="s">
        <v>449</v>
      </c>
      <c r="D33" s="68"/>
      <c r="E33" s="76"/>
      <c r="F33" s="72"/>
      <c r="G33" s="72" t="s">
        <v>414</v>
      </c>
      <c r="H33" s="72">
        <v>25</v>
      </c>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row>
    <row r="34" spans="2:34" s="63" customFormat="1" x14ac:dyDescent="0.4">
      <c r="B34" s="68"/>
      <c r="C34" s="73" t="str">
        <f>E34&amp;"#"&amp;D34</f>
        <v>DEL#data#3</v>
      </c>
      <c r="D34" s="89">
        <v>3</v>
      </c>
      <c r="E34" s="73" t="s">
        <v>386</v>
      </c>
      <c r="F34" s="72" t="s">
        <v>91</v>
      </c>
      <c r="G34" s="72" t="s">
        <v>91</v>
      </c>
      <c r="H34" s="72" t="s">
        <v>91</v>
      </c>
      <c r="I34" s="72" t="s">
        <v>91</v>
      </c>
      <c r="J34" s="72" t="s">
        <v>91</v>
      </c>
      <c r="K34" s="72" t="s">
        <v>91</v>
      </c>
      <c r="L34" s="72" t="s">
        <v>91</v>
      </c>
      <c r="M34" s="72" t="s">
        <v>91</v>
      </c>
      <c r="N34" s="72" t="s">
        <v>91</v>
      </c>
      <c r="O34" s="72" t="s">
        <v>91</v>
      </c>
      <c r="P34" s="72" t="s">
        <v>91</v>
      </c>
      <c r="Q34" s="72" t="s">
        <v>91</v>
      </c>
      <c r="R34" s="72" t="s">
        <v>91</v>
      </c>
      <c r="S34" s="72" t="s">
        <v>91</v>
      </c>
      <c r="T34" s="72" t="s">
        <v>91</v>
      </c>
      <c r="U34" s="72" t="s">
        <v>91</v>
      </c>
      <c r="V34" s="72" t="s">
        <v>91</v>
      </c>
      <c r="W34" s="72" t="s">
        <v>91</v>
      </c>
      <c r="X34" s="72" t="s">
        <v>408</v>
      </c>
      <c r="Y34" s="72" t="s">
        <v>409</v>
      </c>
      <c r="Z34" s="72" t="s">
        <v>410</v>
      </c>
      <c r="AA34" s="72"/>
      <c r="AB34" s="72"/>
      <c r="AC34" s="72"/>
      <c r="AD34" s="72" t="s">
        <v>366</v>
      </c>
      <c r="AE34" s="72">
        <v>111</v>
      </c>
      <c r="AF34" s="73" t="s">
        <v>397</v>
      </c>
      <c r="AG34" s="73">
        <v>333</v>
      </c>
      <c r="AH34" s="72"/>
    </row>
    <row r="35" spans="2:34" s="63" customFormat="1" x14ac:dyDescent="0.4">
      <c r="B35" s="68"/>
      <c r="C35" s="72" t="s">
        <v>450</v>
      </c>
      <c r="D35" s="68"/>
      <c r="E35" s="89" t="s">
        <v>340</v>
      </c>
      <c r="F35" s="72" t="s">
        <v>91</v>
      </c>
      <c r="G35" s="73" t="s">
        <v>436</v>
      </c>
      <c r="H35" s="72">
        <v>9</v>
      </c>
      <c r="I35" s="72" t="s">
        <v>91</v>
      </c>
      <c r="J35" s="72" t="s">
        <v>91</v>
      </c>
      <c r="K35" s="72" t="s">
        <v>91</v>
      </c>
      <c r="L35" s="72" t="s">
        <v>91</v>
      </c>
      <c r="M35" s="72" t="s">
        <v>91</v>
      </c>
      <c r="N35" s="72" t="s">
        <v>91</v>
      </c>
      <c r="O35" s="72" t="s">
        <v>91</v>
      </c>
      <c r="P35" s="72" t="s">
        <v>91</v>
      </c>
      <c r="Q35" s="72" t="s">
        <v>91</v>
      </c>
      <c r="R35" s="72" t="s">
        <v>91</v>
      </c>
      <c r="S35" s="72" t="s">
        <v>91</v>
      </c>
      <c r="T35" s="72" t="s">
        <v>91</v>
      </c>
      <c r="U35" s="72" t="s">
        <v>91</v>
      </c>
      <c r="V35" s="72" t="s">
        <v>91</v>
      </c>
      <c r="W35" s="72" t="s">
        <v>91</v>
      </c>
      <c r="X35" s="72" t="s">
        <v>91</v>
      </c>
      <c r="Y35" s="72" t="s">
        <v>91</v>
      </c>
      <c r="Z35" s="72" t="s">
        <v>91</v>
      </c>
      <c r="AA35" s="72"/>
      <c r="AB35" s="72"/>
      <c r="AC35" s="72" t="s">
        <v>91</v>
      </c>
      <c r="AD35" s="72" t="s">
        <v>91</v>
      </c>
      <c r="AE35" s="72" t="s">
        <v>91</v>
      </c>
      <c r="AF35" s="72" t="s">
        <v>91</v>
      </c>
      <c r="AG35" s="72" t="s">
        <v>91</v>
      </c>
      <c r="AH35" s="72"/>
    </row>
    <row r="36" spans="2:34" s="63" customFormat="1" x14ac:dyDescent="0.4">
      <c r="B36" s="68"/>
      <c r="C36" s="72" t="s">
        <v>451</v>
      </c>
      <c r="D36" s="68"/>
      <c r="E36" s="68"/>
      <c r="F36" s="72"/>
      <c r="G36" s="73" t="s">
        <v>437</v>
      </c>
      <c r="H36" s="72">
        <v>2</v>
      </c>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row>
    <row r="37" spans="2:34" s="63" customFormat="1" x14ac:dyDescent="0.4">
      <c r="B37" s="68"/>
      <c r="C37" s="72" t="s">
        <v>452</v>
      </c>
      <c r="D37" s="68"/>
      <c r="E37" s="76"/>
      <c r="F37" s="72"/>
      <c r="G37" s="73" t="s">
        <v>453</v>
      </c>
      <c r="H37" s="72">
        <v>11</v>
      </c>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row>
    <row r="38" spans="2:34" x14ac:dyDescent="0.4">
      <c r="B38" s="68"/>
      <c r="C38" s="68"/>
      <c r="D38" s="72" t="s">
        <v>361</v>
      </c>
      <c r="E38" s="72"/>
      <c r="F38" s="72"/>
      <c r="G38" s="52"/>
      <c r="H38" s="52"/>
      <c r="I38" s="72"/>
      <c r="J38" s="72"/>
      <c r="K38" s="72"/>
      <c r="L38" s="72"/>
      <c r="M38" s="72"/>
      <c r="N38" s="72"/>
      <c r="O38" s="72"/>
      <c r="P38" s="72"/>
      <c r="Q38" s="72"/>
      <c r="R38" s="72"/>
      <c r="S38" s="72"/>
      <c r="T38" s="72"/>
      <c r="U38" s="52"/>
      <c r="V38" s="52"/>
      <c r="W38" s="52"/>
      <c r="X38" s="52"/>
      <c r="Y38" s="52"/>
      <c r="Z38" s="52"/>
      <c r="AA38" s="52"/>
      <c r="AB38" s="52"/>
      <c r="AC38" s="52"/>
      <c r="AD38" s="52"/>
      <c r="AE38" s="52"/>
      <c r="AF38" s="52"/>
      <c r="AG38" s="52"/>
      <c r="AH38" s="52"/>
    </row>
    <row r="39" spans="2:34" x14ac:dyDescent="0.4">
      <c r="B39" s="70"/>
      <c r="C39" s="70"/>
      <c r="D39" s="75"/>
      <c r="E39" s="75"/>
      <c r="F39" s="75"/>
      <c r="G39" s="54"/>
      <c r="H39" s="54"/>
      <c r="I39" s="75"/>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row>
  </sheetData>
  <mergeCells count="4">
    <mergeCell ref="I2:T2"/>
    <mergeCell ref="U2:W2"/>
    <mergeCell ref="X2:AC2"/>
    <mergeCell ref="AD2:AG2"/>
  </mergeCells>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9"/>
  <sheetViews>
    <sheetView zoomScale="85" zoomScaleNormal="85" workbookViewId="0">
      <selection activeCell="I32" sqref="I32"/>
    </sheetView>
  </sheetViews>
  <sheetFormatPr defaultColWidth="8.625" defaultRowHeight="18.75" x14ac:dyDescent="0.4"/>
  <cols>
    <col min="1" max="1" width="17.875" style="33" bestFit="1" customWidth="1"/>
    <col min="2" max="2" width="11.25" style="63" customWidth="1"/>
    <col min="3" max="3" width="18.75" style="63" bestFit="1" customWidth="1"/>
    <col min="4" max="4" width="25.5" style="63" bestFit="1" customWidth="1"/>
    <col min="5" max="5" width="9.75" style="63" bestFit="1" customWidth="1"/>
    <col min="6" max="6" width="11.25" style="63" bestFit="1" customWidth="1"/>
    <col min="7" max="7" width="14.125" style="63" bestFit="1" customWidth="1"/>
    <col min="8" max="8" width="18.5" style="33" bestFit="1" customWidth="1"/>
    <col min="9" max="9" width="16.75" style="33" bestFit="1" customWidth="1"/>
    <col min="10" max="10" width="10.625" style="63" bestFit="1" customWidth="1"/>
    <col min="11" max="12" width="10.625" style="33" bestFit="1" customWidth="1"/>
    <col min="13" max="13" width="7.625" style="33" bestFit="1" customWidth="1"/>
    <col min="14" max="14" width="8" style="33" bestFit="1" customWidth="1"/>
    <col min="15" max="15" width="13.375" style="33" bestFit="1" customWidth="1"/>
    <col min="16" max="16" width="14.25" style="33" bestFit="1" customWidth="1"/>
    <col min="17" max="17" width="14" style="33" bestFit="1" customWidth="1"/>
    <col min="18" max="18" width="12.25" style="33" bestFit="1" customWidth="1"/>
    <col min="19" max="19" width="12.625" style="33" bestFit="1" customWidth="1"/>
    <col min="20" max="20" width="5.375" style="33" bestFit="1" customWidth="1"/>
    <col min="21" max="21" width="10.625" style="33" bestFit="1" customWidth="1"/>
    <col min="22" max="22" width="9.875" style="33" bestFit="1" customWidth="1"/>
    <col min="23" max="23" width="7.625" style="33" bestFit="1" customWidth="1"/>
    <col min="24" max="24" width="9.875" style="33" bestFit="1" customWidth="1"/>
    <col min="25" max="25" width="16.25" style="33" bestFit="1" customWidth="1"/>
    <col min="26" max="26" width="22" style="33" bestFit="1" customWidth="1"/>
    <col min="27" max="27" width="11" style="33" bestFit="1" customWidth="1"/>
    <col min="28" max="28" width="22" style="33" bestFit="1" customWidth="1"/>
    <col min="29" max="29" width="11.75" style="33" bestFit="1" customWidth="1"/>
    <col min="30" max="30" width="3.875" style="33" customWidth="1"/>
    <col min="31" max="16384" width="8.625" style="33"/>
  </cols>
  <sheetData>
    <row r="1" spans="1:30" s="49" customFormat="1" x14ac:dyDescent="0.4">
      <c r="A1" s="49" t="s">
        <v>83</v>
      </c>
      <c r="E1" s="63"/>
      <c r="F1" s="63"/>
      <c r="G1" s="63"/>
      <c r="J1" s="63"/>
    </row>
    <row r="2" spans="1:30" s="66" customFormat="1" x14ac:dyDescent="0.4">
      <c r="B2" s="104" t="s">
        <v>440</v>
      </c>
      <c r="C2" s="105"/>
      <c r="D2" s="105"/>
      <c r="E2" s="105"/>
      <c r="F2" s="105"/>
      <c r="G2" s="105"/>
      <c r="H2" s="105"/>
      <c r="I2" s="106"/>
      <c r="J2" s="111" t="s">
        <v>441</v>
      </c>
      <c r="K2" s="112"/>
      <c r="L2" s="112"/>
      <c r="M2" s="112"/>
      <c r="N2" s="112"/>
      <c r="O2" s="112"/>
      <c r="P2" s="112"/>
      <c r="Q2" s="112"/>
      <c r="R2" s="112"/>
      <c r="S2" s="112"/>
      <c r="T2" s="112"/>
      <c r="U2" s="113" t="s">
        <v>442</v>
      </c>
      <c r="V2" s="114"/>
      <c r="W2" s="115" t="s">
        <v>443</v>
      </c>
      <c r="X2" s="116"/>
      <c r="Y2" s="116"/>
      <c r="Z2" s="117" t="s">
        <v>440</v>
      </c>
      <c r="AA2" s="118"/>
      <c r="AB2" s="118"/>
      <c r="AC2" s="119"/>
    </row>
    <row r="3" spans="1:30" s="65" customFormat="1" x14ac:dyDescent="0.4">
      <c r="A3" s="66" t="s">
        <v>320</v>
      </c>
      <c r="B3" s="99" t="s">
        <v>321</v>
      </c>
      <c r="C3" s="90" t="s">
        <v>322</v>
      </c>
      <c r="D3" s="99"/>
      <c r="E3" s="99"/>
      <c r="F3" s="99"/>
      <c r="G3" s="99"/>
      <c r="H3" s="99"/>
      <c r="I3" s="99"/>
      <c r="J3" s="100"/>
      <c r="K3" s="100"/>
      <c r="L3" s="100"/>
      <c r="M3" s="100"/>
      <c r="N3" s="100"/>
      <c r="O3" s="100"/>
      <c r="P3" s="100"/>
      <c r="Q3" s="100"/>
      <c r="R3" s="100"/>
      <c r="S3" s="100"/>
      <c r="T3" s="100"/>
      <c r="U3" s="101"/>
      <c r="V3" s="101"/>
      <c r="W3" s="102"/>
      <c r="X3" s="102"/>
      <c r="Y3" s="102"/>
      <c r="Z3" s="99"/>
      <c r="AA3" s="99"/>
      <c r="AB3" s="99"/>
      <c r="AC3" s="99"/>
      <c r="AD3" s="103"/>
    </row>
    <row r="4" spans="1:30" s="88" customFormat="1" x14ac:dyDescent="0.4">
      <c r="A4" s="66" t="s">
        <v>382</v>
      </c>
      <c r="B4" s="94"/>
      <c r="C4" s="94"/>
      <c r="D4" s="94" t="s">
        <v>331</v>
      </c>
      <c r="E4" s="94" t="s">
        <v>435</v>
      </c>
      <c r="F4" s="94"/>
      <c r="G4" s="94"/>
      <c r="H4" s="93" t="s">
        <v>381</v>
      </c>
      <c r="I4" s="94" t="s">
        <v>384</v>
      </c>
      <c r="J4" s="109" t="s">
        <v>473</v>
      </c>
      <c r="K4" s="109" t="s">
        <v>474</v>
      </c>
      <c r="L4" s="109" t="s">
        <v>471</v>
      </c>
      <c r="M4" s="95"/>
      <c r="N4" s="95"/>
      <c r="O4" s="95"/>
      <c r="P4" s="95"/>
      <c r="Q4" s="95"/>
      <c r="R4" s="95"/>
      <c r="S4" s="95"/>
      <c r="T4" s="95"/>
      <c r="U4" s="110" t="s">
        <v>433</v>
      </c>
      <c r="V4" s="96"/>
      <c r="W4" s="97"/>
      <c r="X4" s="97"/>
      <c r="Y4" s="97"/>
      <c r="Z4" s="93" t="s">
        <v>481</v>
      </c>
      <c r="AA4" s="93" t="s">
        <v>480</v>
      </c>
      <c r="AB4" s="93" t="s">
        <v>479</v>
      </c>
      <c r="AC4" s="93" t="s">
        <v>472</v>
      </c>
      <c r="AD4" s="98"/>
    </row>
    <row r="5" spans="1:30" s="63" customFormat="1" x14ac:dyDescent="0.4">
      <c r="A5" s="63" t="s">
        <v>417</v>
      </c>
      <c r="B5" s="91">
        <v>1</v>
      </c>
      <c r="C5" s="91">
        <v>2</v>
      </c>
      <c r="D5" s="91">
        <v>3</v>
      </c>
      <c r="E5" s="91">
        <v>3</v>
      </c>
      <c r="F5" s="83">
        <v>4</v>
      </c>
      <c r="G5" s="83">
        <v>5</v>
      </c>
      <c r="H5" s="84">
        <v>6</v>
      </c>
      <c r="I5" s="84">
        <v>7</v>
      </c>
      <c r="J5" s="86">
        <v>8</v>
      </c>
      <c r="K5" s="86">
        <v>9</v>
      </c>
      <c r="L5" s="86">
        <v>10</v>
      </c>
      <c r="M5" s="86">
        <v>11</v>
      </c>
      <c r="N5" s="86">
        <v>12</v>
      </c>
      <c r="O5" s="86">
        <v>13</v>
      </c>
      <c r="P5" s="86">
        <v>14</v>
      </c>
      <c r="Q5" s="86">
        <v>15</v>
      </c>
      <c r="R5" s="86">
        <v>16</v>
      </c>
      <c r="S5" s="86">
        <v>17</v>
      </c>
      <c r="T5" s="86">
        <v>18</v>
      </c>
      <c r="U5" s="81">
        <v>20</v>
      </c>
      <c r="V5" s="81">
        <v>21</v>
      </c>
      <c r="W5" s="79">
        <v>23</v>
      </c>
      <c r="X5" s="79">
        <v>24</v>
      </c>
      <c r="Y5" s="79">
        <v>25</v>
      </c>
      <c r="Z5" s="83">
        <v>29</v>
      </c>
      <c r="AA5" s="83">
        <v>30</v>
      </c>
      <c r="AB5" s="83">
        <v>31</v>
      </c>
      <c r="AC5" s="83">
        <v>32</v>
      </c>
      <c r="AD5" s="72"/>
    </row>
    <row r="6" spans="1:30" s="63" customFormat="1" x14ac:dyDescent="0.4">
      <c r="A6" s="63" t="s">
        <v>418</v>
      </c>
      <c r="B6" s="91" t="s">
        <v>3</v>
      </c>
      <c r="C6" s="91" t="s">
        <v>89</v>
      </c>
      <c r="D6" s="91" t="s">
        <v>470</v>
      </c>
      <c r="E6" s="91" t="s">
        <v>18</v>
      </c>
      <c r="F6" s="83" t="s">
        <v>425</v>
      </c>
      <c r="G6" s="83" t="s">
        <v>374</v>
      </c>
      <c r="H6" s="84" t="s">
        <v>477</v>
      </c>
      <c r="I6" s="84" t="s">
        <v>478</v>
      </c>
      <c r="J6" s="86" t="s">
        <v>341</v>
      </c>
      <c r="K6" s="86" t="s">
        <v>342</v>
      </c>
      <c r="L6" s="86" t="s">
        <v>343</v>
      </c>
      <c r="M6" s="86" t="s">
        <v>4</v>
      </c>
      <c r="N6" s="86" t="s">
        <v>344</v>
      </c>
      <c r="O6" s="86" t="s">
        <v>345</v>
      </c>
      <c r="P6" s="86" t="s">
        <v>346</v>
      </c>
      <c r="Q6" s="86" t="s">
        <v>347</v>
      </c>
      <c r="R6" s="86" t="s">
        <v>348</v>
      </c>
      <c r="S6" s="86" t="s">
        <v>349</v>
      </c>
      <c r="T6" s="86" t="s">
        <v>350</v>
      </c>
      <c r="U6" s="81" t="s">
        <v>375</v>
      </c>
      <c r="V6" s="81" t="s">
        <v>376</v>
      </c>
      <c r="W6" s="79" t="s">
        <v>399</v>
      </c>
      <c r="X6" s="79" t="s">
        <v>400</v>
      </c>
      <c r="Y6" s="79" t="s">
        <v>401</v>
      </c>
      <c r="Z6" s="83" t="s">
        <v>351</v>
      </c>
      <c r="AA6" s="83" t="s">
        <v>352</v>
      </c>
      <c r="AB6" s="83" t="s">
        <v>353</v>
      </c>
      <c r="AC6" s="83" t="s">
        <v>15</v>
      </c>
      <c r="AD6" s="72"/>
    </row>
    <row r="7" spans="1:30" s="63" customFormat="1" x14ac:dyDescent="0.4">
      <c r="A7" s="63" t="s">
        <v>426</v>
      </c>
      <c r="B7" s="91" t="s">
        <v>385</v>
      </c>
      <c r="C7" s="91" t="s">
        <v>385</v>
      </c>
      <c r="D7" s="91" t="s">
        <v>385</v>
      </c>
      <c r="E7" s="91" t="s">
        <v>385</v>
      </c>
      <c r="F7" s="83" t="s">
        <v>385</v>
      </c>
      <c r="G7" s="83" t="s">
        <v>393</v>
      </c>
      <c r="H7" s="83" t="s">
        <v>385</v>
      </c>
      <c r="I7" s="83" t="s">
        <v>393</v>
      </c>
      <c r="J7" s="86" t="s">
        <v>385</v>
      </c>
      <c r="K7" s="86" t="s">
        <v>385</v>
      </c>
      <c r="L7" s="86" t="s">
        <v>385</v>
      </c>
      <c r="M7" s="86" t="s">
        <v>385</v>
      </c>
      <c r="N7" s="86" t="s">
        <v>385</v>
      </c>
      <c r="O7" s="86" t="s">
        <v>385</v>
      </c>
      <c r="P7" s="86" t="s">
        <v>385</v>
      </c>
      <c r="Q7" s="86" t="s">
        <v>385</v>
      </c>
      <c r="R7" s="86" t="s">
        <v>385</v>
      </c>
      <c r="S7" s="86" t="s">
        <v>385</v>
      </c>
      <c r="T7" s="86" t="s">
        <v>385</v>
      </c>
      <c r="U7" s="81" t="s">
        <v>385</v>
      </c>
      <c r="V7" s="81" t="s">
        <v>385</v>
      </c>
      <c r="W7" s="78" t="s">
        <v>385</v>
      </c>
      <c r="X7" s="78" t="s">
        <v>385</v>
      </c>
      <c r="Y7" s="78" t="s">
        <v>411</v>
      </c>
      <c r="Z7" s="83" t="s">
        <v>420</v>
      </c>
      <c r="AA7" s="83" t="s">
        <v>385</v>
      </c>
      <c r="AB7" s="83" t="s">
        <v>420</v>
      </c>
      <c r="AC7" s="83" t="s">
        <v>385</v>
      </c>
      <c r="AD7" s="72"/>
    </row>
    <row r="8" spans="1:30" s="64" customFormat="1" ht="15.75" x14ac:dyDescent="0.4">
      <c r="A8" s="64" t="s">
        <v>419</v>
      </c>
      <c r="B8" s="92" t="s">
        <v>3</v>
      </c>
      <c r="C8" s="92" t="s">
        <v>89</v>
      </c>
      <c r="D8" s="92" t="s">
        <v>464</v>
      </c>
      <c r="E8" s="92" t="s">
        <v>333</v>
      </c>
      <c r="F8" s="85" t="s">
        <v>424</v>
      </c>
      <c r="G8" s="85" t="s">
        <v>373</v>
      </c>
      <c r="H8" s="85" t="s">
        <v>475</v>
      </c>
      <c r="I8" s="85" t="s">
        <v>476</v>
      </c>
      <c r="J8" s="87" t="s">
        <v>43</v>
      </c>
      <c r="K8" s="87" t="s">
        <v>44</v>
      </c>
      <c r="L8" s="87" t="s">
        <v>45</v>
      </c>
      <c r="M8" s="87" t="s">
        <v>41</v>
      </c>
      <c r="N8" s="87" t="s">
        <v>42</v>
      </c>
      <c r="O8" s="87" t="s">
        <v>46</v>
      </c>
      <c r="P8" s="87" t="s">
        <v>47</v>
      </c>
      <c r="Q8" s="87" t="s">
        <v>48</v>
      </c>
      <c r="R8" s="87" t="s">
        <v>49</v>
      </c>
      <c r="S8" s="87" t="s">
        <v>50</v>
      </c>
      <c r="T8" s="87" t="s">
        <v>51</v>
      </c>
      <c r="U8" s="82" t="s">
        <v>58</v>
      </c>
      <c r="V8" s="82" t="s">
        <v>59</v>
      </c>
      <c r="W8" s="80" t="s">
        <v>62</v>
      </c>
      <c r="X8" s="80" t="s">
        <v>415</v>
      </c>
      <c r="Y8" s="80" t="s">
        <v>416</v>
      </c>
      <c r="Z8" s="85" t="s">
        <v>52</v>
      </c>
      <c r="AA8" s="85" t="s">
        <v>53</v>
      </c>
      <c r="AB8" s="85" t="s">
        <v>54</v>
      </c>
      <c r="AC8" s="85" t="s">
        <v>55</v>
      </c>
      <c r="AD8" s="77"/>
    </row>
    <row r="9" spans="1:30" s="63" customFormat="1" x14ac:dyDescent="0.4">
      <c r="B9" s="67" t="s">
        <v>338</v>
      </c>
      <c r="C9" s="71" t="str">
        <f>F9&amp;"#"&amp;E9</f>
        <v>latest_id#0</v>
      </c>
      <c r="D9" s="76" t="s">
        <v>463</v>
      </c>
      <c r="E9" s="76">
        <v>0</v>
      </c>
      <c r="F9" s="76" t="s">
        <v>362</v>
      </c>
      <c r="G9" s="76">
        <v>31</v>
      </c>
      <c r="H9" s="76" t="s">
        <v>355</v>
      </c>
      <c r="I9" s="76" t="s">
        <v>355</v>
      </c>
      <c r="J9" s="76" t="s">
        <v>91</v>
      </c>
      <c r="K9" s="76" t="s">
        <v>91</v>
      </c>
      <c r="L9" s="76" t="s">
        <v>91</v>
      </c>
      <c r="M9" s="76" t="s">
        <v>91</v>
      </c>
      <c r="N9" s="76" t="s">
        <v>91</v>
      </c>
      <c r="O9" s="76" t="s">
        <v>91</v>
      </c>
      <c r="P9" s="76" t="s">
        <v>91</v>
      </c>
      <c r="Q9" s="76" t="s">
        <v>91</v>
      </c>
      <c r="R9" s="76" t="s">
        <v>91</v>
      </c>
      <c r="S9" s="76" t="s">
        <v>91</v>
      </c>
      <c r="T9" s="76" t="s">
        <v>91</v>
      </c>
      <c r="U9" s="76" t="s">
        <v>91</v>
      </c>
      <c r="V9" s="76" t="s">
        <v>91</v>
      </c>
      <c r="W9" s="76" t="s">
        <v>91</v>
      </c>
      <c r="X9" s="76" t="s">
        <v>91</v>
      </c>
      <c r="Y9" s="76" t="s">
        <v>91</v>
      </c>
      <c r="Z9" s="76" t="s">
        <v>91</v>
      </c>
      <c r="AA9" s="76" t="s">
        <v>91</v>
      </c>
      <c r="AB9" s="76" t="s">
        <v>91</v>
      </c>
      <c r="AC9" s="76" t="s">
        <v>91</v>
      </c>
      <c r="AD9" s="76"/>
    </row>
    <row r="10" spans="1:30" s="63" customFormat="1" x14ac:dyDescent="0.4">
      <c r="B10" s="68"/>
      <c r="C10" s="72" t="str">
        <f>F10&amp;"#"&amp;E10</f>
        <v>data#1</v>
      </c>
      <c r="D10" s="72" t="s">
        <v>465</v>
      </c>
      <c r="E10" s="89">
        <v>1</v>
      </c>
      <c r="F10" s="72" t="s">
        <v>339</v>
      </c>
      <c r="G10" s="72" t="s">
        <v>91</v>
      </c>
      <c r="H10" s="72" t="s">
        <v>355</v>
      </c>
      <c r="I10" s="72" t="s">
        <v>355</v>
      </c>
      <c r="J10" s="72">
        <v>22</v>
      </c>
      <c r="K10" s="72">
        <v>43</v>
      </c>
      <c r="L10" s="72">
        <v>9</v>
      </c>
      <c r="M10" s="72" t="s">
        <v>357</v>
      </c>
      <c r="N10" s="72" t="s">
        <v>358</v>
      </c>
      <c r="O10" s="72" t="s">
        <v>363</v>
      </c>
      <c r="P10" s="72" t="s">
        <v>364</v>
      </c>
      <c r="Q10" s="72" t="s">
        <v>365</v>
      </c>
      <c r="R10" s="72" t="s">
        <v>365</v>
      </c>
      <c r="S10" s="72" t="s">
        <v>365</v>
      </c>
      <c r="T10" s="72" t="s">
        <v>356</v>
      </c>
      <c r="U10" s="72" t="s">
        <v>91</v>
      </c>
      <c r="V10" s="72" t="s">
        <v>91</v>
      </c>
      <c r="W10" s="72" t="s">
        <v>91</v>
      </c>
      <c r="X10" s="72" t="s">
        <v>91</v>
      </c>
      <c r="Y10" s="72" t="s">
        <v>91</v>
      </c>
      <c r="Z10" s="72" t="s">
        <v>366</v>
      </c>
      <c r="AA10" s="72">
        <v>111</v>
      </c>
      <c r="AB10" s="72" t="s">
        <v>366</v>
      </c>
      <c r="AC10" s="72">
        <v>222</v>
      </c>
      <c r="AD10" s="72"/>
    </row>
    <row r="11" spans="1:30" s="63" customFormat="1" x14ac:dyDescent="0.4">
      <c r="B11" s="68"/>
      <c r="C11" s="72" t="s">
        <v>455</v>
      </c>
      <c r="D11" s="72" t="s">
        <v>466</v>
      </c>
      <c r="E11" s="76"/>
      <c r="F11" s="72" t="s">
        <v>340</v>
      </c>
      <c r="G11" s="72" t="s">
        <v>91</v>
      </c>
      <c r="H11" s="72" t="s">
        <v>354</v>
      </c>
      <c r="I11" s="72">
        <v>3</v>
      </c>
      <c r="J11" s="72" t="s">
        <v>91</v>
      </c>
      <c r="K11" s="72" t="s">
        <v>91</v>
      </c>
      <c r="L11" s="72" t="s">
        <v>91</v>
      </c>
      <c r="M11" s="72" t="s">
        <v>91</v>
      </c>
      <c r="N11" s="72" t="s">
        <v>91</v>
      </c>
      <c r="O11" s="72" t="s">
        <v>91</v>
      </c>
      <c r="P11" s="72" t="s">
        <v>91</v>
      </c>
      <c r="Q11" s="72" t="s">
        <v>91</v>
      </c>
      <c r="R11" s="72" t="s">
        <v>91</v>
      </c>
      <c r="S11" s="72" t="s">
        <v>91</v>
      </c>
      <c r="T11" s="72" t="s">
        <v>91</v>
      </c>
      <c r="U11" s="72" t="s">
        <v>91</v>
      </c>
      <c r="V11" s="72" t="s">
        <v>91</v>
      </c>
      <c r="W11" s="72" t="s">
        <v>91</v>
      </c>
      <c r="X11" s="72" t="s">
        <v>91</v>
      </c>
      <c r="Y11" s="72" t="s">
        <v>91</v>
      </c>
      <c r="Z11" s="72" t="s">
        <v>91</v>
      </c>
      <c r="AA11" s="72" t="s">
        <v>91</v>
      </c>
      <c r="AB11" s="72" t="s">
        <v>91</v>
      </c>
      <c r="AC11" s="72" t="s">
        <v>91</v>
      </c>
      <c r="AD11" s="72"/>
    </row>
    <row r="12" spans="1:30" s="63" customFormat="1" x14ac:dyDescent="0.4">
      <c r="B12" s="68"/>
      <c r="C12" s="72" t="str">
        <f>F12&amp;"#"&amp;E12</f>
        <v>data#2</v>
      </c>
      <c r="D12" s="72" t="s">
        <v>467</v>
      </c>
      <c r="E12" s="89">
        <v>2</v>
      </c>
      <c r="F12" s="72" t="s">
        <v>339</v>
      </c>
      <c r="G12" s="72" t="s">
        <v>91</v>
      </c>
      <c r="H12" s="72" t="s">
        <v>355</v>
      </c>
      <c r="I12" s="72" t="s">
        <v>355</v>
      </c>
      <c r="J12" s="72">
        <v>31</v>
      </c>
      <c r="K12" s="72">
        <v>2</v>
      </c>
      <c r="L12" s="72">
        <v>56</v>
      </c>
      <c r="M12" s="72" t="s">
        <v>359</v>
      </c>
      <c r="N12" s="72" t="s">
        <v>360</v>
      </c>
      <c r="O12" s="72" t="s">
        <v>367</v>
      </c>
      <c r="P12" s="72" t="s">
        <v>368</v>
      </c>
      <c r="Q12" s="72" t="s">
        <v>369</v>
      </c>
      <c r="R12" s="72" t="s">
        <v>369</v>
      </c>
      <c r="S12" s="72" t="s">
        <v>369</v>
      </c>
      <c r="T12" s="72" t="s">
        <v>370</v>
      </c>
      <c r="U12" s="72" t="s">
        <v>91</v>
      </c>
      <c r="V12" s="72" t="s">
        <v>91</v>
      </c>
      <c r="W12" s="72" t="s">
        <v>91</v>
      </c>
      <c r="X12" s="72" t="s">
        <v>91</v>
      </c>
      <c r="Y12" s="72" t="s">
        <v>91</v>
      </c>
      <c r="Z12" s="72" t="s">
        <v>366</v>
      </c>
      <c r="AA12" s="72">
        <v>111</v>
      </c>
      <c r="AB12" s="72" t="s">
        <v>366</v>
      </c>
      <c r="AC12" s="72">
        <v>222</v>
      </c>
      <c r="AD12" s="72"/>
    </row>
    <row r="13" spans="1:30" s="63" customFormat="1" x14ac:dyDescent="0.4">
      <c r="B13" s="68"/>
      <c r="C13" s="72" t="s">
        <v>454</v>
      </c>
      <c r="D13" s="72" t="s">
        <v>466</v>
      </c>
      <c r="E13" s="76"/>
      <c r="F13" s="72" t="s">
        <v>340</v>
      </c>
      <c r="G13" s="72" t="s">
        <v>91</v>
      </c>
      <c r="H13" s="72" t="s">
        <v>354</v>
      </c>
      <c r="I13" s="72">
        <v>6</v>
      </c>
      <c r="J13" s="72" t="s">
        <v>91</v>
      </c>
      <c r="K13" s="72" t="s">
        <v>91</v>
      </c>
      <c r="L13" s="72" t="s">
        <v>91</v>
      </c>
      <c r="M13" s="72" t="s">
        <v>91</v>
      </c>
      <c r="N13" s="72" t="s">
        <v>91</v>
      </c>
      <c r="O13" s="72" t="s">
        <v>91</v>
      </c>
      <c r="P13" s="72" t="s">
        <v>91</v>
      </c>
      <c r="Q13" s="72" t="s">
        <v>91</v>
      </c>
      <c r="R13" s="72" t="s">
        <v>91</v>
      </c>
      <c r="S13" s="72" t="s">
        <v>91</v>
      </c>
      <c r="T13" s="72" t="s">
        <v>91</v>
      </c>
      <c r="U13" s="72" t="s">
        <v>91</v>
      </c>
      <c r="V13" s="72" t="s">
        <v>91</v>
      </c>
      <c r="W13" s="72" t="s">
        <v>91</v>
      </c>
      <c r="X13" s="72" t="s">
        <v>91</v>
      </c>
      <c r="Y13" s="72" t="s">
        <v>91</v>
      </c>
      <c r="Z13" s="72" t="s">
        <v>91</v>
      </c>
      <c r="AA13" s="72" t="s">
        <v>91</v>
      </c>
      <c r="AB13" s="72" t="s">
        <v>91</v>
      </c>
      <c r="AC13" s="72" t="s">
        <v>91</v>
      </c>
      <c r="AD13" s="72"/>
    </row>
    <row r="14" spans="1:30" s="63" customFormat="1" x14ac:dyDescent="0.4">
      <c r="B14" s="68"/>
      <c r="C14" s="73" t="str">
        <f>F14&amp;"#"&amp;E14</f>
        <v>DEL#data#3</v>
      </c>
      <c r="D14" s="73" t="s">
        <v>468</v>
      </c>
      <c r="E14" s="89">
        <v>3</v>
      </c>
      <c r="F14" s="73" t="s">
        <v>386</v>
      </c>
      <c r="G14" s="72" t="s">
        <v>91</v>
      </c>
      <c r="H14" s="72" t="s">
        <v>355</v>
      </c>
      <c r="I14" s="72" t="s">
        <v>355</v>
      </c>
      <c r="J14" s="73" t="s">
        <v>394</v>
      </c>
      <c r="K14" s="73" t="s">
        <v>395</v>
      </c>
      <c r="L14" s="73" t="s">
        <v>396</v>
      </c>
      <c r="M14" s="72" t="s">
        <v>387</v>
      </c>
      <c r="N14" s="72" t="s">
        <v>388</v>
      </c>
      <c r="O14" s="72" t="s">
        <v>389</v>
      </c>
      <c r="P14" s="72" t="s">
        <v>390</v>
      </c>
      <c r="Q14" s="72" t="s">
        <v>391</v>
      </c>
      <c r="R14" s="72" t="s">
        <v>391</v>
      </c>
      <c r="S14" s="72" t="s">
        <v>391</v>
      </c>
      <c r="T14" s="72" t="s">
        <v>392</v>
      </c>
      <c r="U14" s="72" t="s">
        <v>91</v>
      </c>
      <c r="V14" s="72" t="s">
        <v>91</v>
      </c>
      <c r="W14" s="72" t="s">
        <v>91</v>
      </c>
      <c r="X14" s="72" t="s">
        <v>91</v>
      </c>
      <c r="Y14" s="72" t="s">
        <v>91</v>
      </c>
      <c r="Z14" s="74" t="s">
        <v>366</v>
      </c>
      <c r="AA14" s="74">
        <v>111</v>
      </c>
      <c r="AB14" s="73" t="s">
        <v>397</v>
      </c>
      <c r="AC14" s="73">
        <v>333</v>
      </c>
      <c r="AD14" s="72"/>
    </row>
    <row r="15" spans="1:30" s="63" customFormat="1" x14ac:dyDescent="0.4">
      <c r="B15" s="68"/>
      <c r="C15" s="73" t="s">
        <v>459</v>
      </c>
      <c r="D15" s="73" t="s">
        <v>469</v>
      </c>
      <c r="E15" s="76"/>
      <c r="F15" s="72" t="s">
        <v>340</v>
      </c>
      <c r="G15" s="72" t="s">
        <v>91</v>
      </c>
      <c r="H15" s="73" t="s">
        <v>439</v>
      </c>
      <c r="I15" s="72">
        <v>2</v>
      </c>
      <c r="J15" s="72" t="s">
        <v>91</v>
      </c>
      <c r="K15" s="72" t="s">
        <v>91</v>
      </c>
      <c r="L15" s="72" t="s">
        <v>91</v>
      </c>
      <c r="M15" s="72" t="s">
        <v>91</v>
      </c>
      <c r="N15" s="72" t="s">
        <v>91</v>
      </c>
      <c r="O15" s="72" t="s">
        <v>91</v>
      </c>
      <c r="P15" s="72" t="s">
        <v>91</v>
      </c>
      <c r="Q15" s="72" t="s">
        <v>91</v>
      </c>
      <c r="R15" s="72" t="s">
        <v>91</v>
      </c>
      <c r="S15" s="72" t="s">
        <v>91</v>
      </c>
      <c r="T15" s="72" t="s">
        <v>91</v>
      </c>
      <c r="U15" s="72" t="s">
        <v>91</v>
      </c>
      <c r="V15" s="72" t="s">
        <v>91</v>
      </c>
      <c r="W15" s="72" t="s">
        <v>91</v>
      </c>
      <c r="X15" s="72" t="s">
        <v>91</v>
      </c>
      <c r="Y15" s="72" t="s">
        <v>91</v>
      </c>
      <c r="Z15" s="72" t="s">
        <v>91</v>
      </c>
      <c r="AA15" s="72" t="s">
        <v>91</v>
      </c>
      <c r="AB15" s="72" t="s">
        <v>91</v>
      </c>
      <c r="AC15" s="72" t="s">
        <v>91</v>
      </c>
      <c r="AD15" s="72"/>
    </row>
    <row r="16" spans="1:30" s="63" customFormat="1" x14ac:dyDescent="0.4">
      <c r="B16" s="70"/>
      <c r="C16" s="75"/>
      <c r="D16" s="75"/>
      <c r="E16" s="89" t="s">
        <v>361</v>
      </c>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row>
    <row r="17" spans="2:30" s="63" customFormat="1" x14ac:dyDescent="0.4">
      <c r="B17" s="67" t="s">
        <v>371</v>
      </c>
      <c r="C17" s="71" t="str">
        <f>F17&amp;"#"&amp;E17</f>
        <v>latest_id#0</v>
      </c>
      <c r="D17" s="71"/>
      <c r="E17" s="71">
        <v>0</v>
      </c>
      <c r="F17" s="71" t="s">
        <v>362</v>
      </c>
      <c r="G17" s="71">
        <v>7</v>
      </c>
      <c r="H17" s="71" t="s">
        <v>355</v>
      </c>
      <c r="I17" s="71" t="s">
        <v>355</v>
      </c>
      <c r="J17" s="71" t="s">
        <v>91</v>
      </c>
      <c r="K17" s="71" t="s">
        <v>91</v>
      </c>
      <c r="L17" s="71" t="s">
        <v>91</v>
      </c>
      <c r="M17" s="71" t="s">
        <v>91</v>
      </c>
      <c r="N17" s="71" t="s">
        <v>91</v>
      </c>
      <c r="O17" s="71" t="s">
        <v>91</v>
      </c>
      <c r="P17" s="71" t="s">
        <v>91</v>
      </c>
      <c r="Q17" s="71" t="s">
        <v>91</v>
      </c>
      <c r="R17" s="71" t="s">
        <v>91</v>
      </c>
      <c r="S17" s="71" t="s">
        <v>91</v>
      </c>
      <c r="T17" s="71" t="s">
        <v>91</v>
      </c>
      <c r="U17" s="71" t="s">
        <v>91</v>
      </c>
      <c r="V17" s="71" t="s">
        <v>91</v>
      </c>
      <c r="W17" s="71" t="s">
        <v>91</v>
      </c>
      <c r="X17" s="71" t="s">
        <v>91</v>
      </c>
      <c r="Y17" s="71" t="s">
        <v>91</v>
      </c>
      <c r="Z17" s="71" t="s">
        <v>91</v>
      </c>
      <c r="AA17" s="71" t="s">
        <v>91</v>
      </c>
      <c r="AB17" s="71" t="s">
        <v>91</v>
      </c>
      <c r="AC17" s="71" t="s">
        <v>91</v>
      </c>
      <c r="AD17" s="71"/>
    </row>
    <row r="18" spans="2:30" s="63" customFormat="1" x14ac:dyDescent="0.4">
      <c r="B18" s="68"/>
      <c r="C18" s="72" t="str">
        <f>F18&amp;"#"&amp;E18</f>
        <v>data#1</v>
      </c>
      <c r="D18" s="89"/>
      <c r="E18" s="89">
        <v>1</v>
      </c>
      <c r="F18" s="72" t="s">
        <v>339</v>
      </c>
      <c r="G18" s="72" t="s">
        <v>91</v>
      </c>
      <c r="H18" s="72" t="s">
        <v>91</v>
      </c>
      <c r="I18" s="72" t="s">
        <v>91</v>
      </c>
      <c r="J18" s="72" t="s">
        <v>91</v>
      </c>
      <c r="K18" s="72" t="s">
        <v>91</v>
      </c>
      <c r="L18" s="72" t="s">
        <v>91</v>
      </c>
      <c r="M18" s="72" t="s">
        <v>91</v>
      </c>
      <c r="N18" s="72" t="s">
        <v>91</v>
      </c>
      <c r="O18" s="72" t="s">
        <v>91</v>
      </c>
      <c r="P18" s="72" t="s">
        <v>91</v>
      </c>
      <c r="Q18" s="72" t="s">
        <v>91</v>
      </c>
      <c r="R18" s="72" t="s">
        <v>91</v>
      </c>
      <c r="S18" s="72" t="s">
        <v>91</v>
      </c>
      <c r="T18" s="72" t="s">
        <v>91</v>
      </c>
      <c r="U18" s="72">
        <v>1</v>
      </c>
      <c r="V18" s="72" t="s">
        <v>378</v>
      </c>
      <c r="W18" s="72" t="s">
        <v>91</v>
      </c>
      <c r="X18" s="72" t="s">
        <v>91</v>
      </c>
      <c r="Y18" s="72" t="s">
        <v>91</v>
      </c>
      <c r="Z18" s="72" t="s">
        <v>366</v>
      </c>
      <c r="AA18" s="72">
        <v>111</v>
      </c>
      <c r="AB18" s="72" t="s">
        <v>366</v>
      </c>
      <c r="AC18" s="72">
        <v>222</v>
      </c>
      <c r="AD18" s="72"/>
    </row>
    <row r="19" spans="2:30" s="63" customFormat="1" x14ac:dyDescent="0.4">
      <c r="B19" s="68"/>
      <c r="C19" s="72" t="s">
        <v>456</v>
      </c>
      <c r="D19" s="76"/>
      <c r="E19" s="76"/>
      <c r="F19" s="72" t="s">
        <v>340</v>
      </c>
      <c r="G19" s="72" t="s">
        <v>91</v>
      </c>
      <c r="H19" s="72" t="s">
        <v>377</v>
      </c>
      <c r="I19" s="72">
        <v>2</v>
      </c>
      <c r="J19" s="72" t="s">
        <v>91</v>
      </c>
      <c r="K19" s="72" t="s">
        <v>91</v>
      </c>
      <c r="L19" s="72" t="s">
        <v>91</v>
      </c>
      <c r="M19" s="72" t="s">
        <v>91</v>
      </c>
      <c r="N19" s="72" t="s">
        <v>91</v>
      </c>
      <c r="O19" s="72" t="s">
        <v>91</v>
      </c>
      <c r="P19" s="72" t="s">
        <v>91</v>
      </c>
      <c r="Q19" s="72" t="s">
        <v>91</v>
      </c>
      <c r="R19" s="72" t="s">
        <v>91</v>
      </c>
      <c r="S19" s="72" t="s">
        <v>91</v>
      </c>
      <c r="T19" s="72" t="s">
        <v>91</v>
      </c>
      <c r="U19" s="72" t="s">
        <v>91</v>
      </c>
      <c r="V19" s="72" t="s">
        <v>91</v>
      </c>
      <c r="W19" s="72" t="s">
        <v>91</v>
      </c>
      <c r="X19" s="72" t="s">
        <v>91</v>
      </c>
      <c r="Y19" s="72" t="s">
        <v>91</v>
      </c>
      <c r="Z19" s="72" t="s">
        <v>91</v>
      </c>
      <c r="AA19" s="72" t="s">
        <v>91</v>
      </c>
      <c r="AB19" s="72" t="s">
        <v>91</v>
      </c>
      <c r="AC19" s="72" t="s">
        <v>91</v>
      </c>
      <c r="AD19" s="72"/>
    </row>
    <row r="20" spans="2:30" s="63" customFormat="1" x14ac:dyDescent="0.4">
      <c r="B20" s="68"/>
      <c r="C20" s="72" t="str">
        <f>F20&amp;"#"&amp;E20</f>
        <v>data#2</v>
      </c>
      <c r="D20" s="89"/>
      <c r="E20" s="89">
        <v>2</v>
      </c>
      <c r="F20" s="72" t="s">
        <v>339</v>
      </c>
      <c r="G20" s="72" t="s">
        <v>91</v>
      </c>
      <c r="H20" s="72" t="s">
        <v>91</v>
      </c>
      <c r="I20" s="72" t="s">
        <v>91</v>
      </c>
      <c r="J20" s="72" t="s">
        <v>91</v>
      </c>
      <c r="K20" s="72" t="s">
        <v>91</v>
      </c>
      <c r="L20" s="72" t="s">
        <v>91</v>
      </c>
      <c r="M20" s="72" t="s">
        <v>91</v>
      </c>
      <c r="N20" s="72" t="s">
        <v>91</v>
      </c>
      <c r="O20" s="72" t="s">
        <v>91</v>
      </c>
      <c r="P20" s="72" t="s">
        <v>91</v>
      </c>
      <c r="Q20" s="72" t="s">
        <v>91</v>
      </c>
      <c r="R20" s="72" t="s">
        <v>91</v>
      </c>
      <c r="S20" s="72" t="s">
        <v>91</v>
      </c>
      <c r="T20" s="72" t="s">
        <v>91</v>
      </c>
      <c r="U20" s="72">
        <v>2</v>
      </c>
      <c r="V20" s="72" t="s">
        <v>379</v>
      </c>
      <c r="W20" s="72" t="s">
        <v>91</v>
      </c>
      <c r="X20" s="72" t="s">
        <v>91</v>
      </c>
      <c r="Y20" s="72" t="s">
        <v>91</v>
      </c>
      <c r="Z20" s="72" t="s">
        <v>366</v>
      </c>
      <c r="AA20" s="72">
        <v>111</v>
      </c>
      <c r="AB20" s="72" t="s">
        <v>366</v>
      </c>
      <c r="AC20" s="72">
        <v>222</v>
      </c>
      <c r="AD20" s="72"/>
    </row>
    <row r="21" spans="2:30" s="63" customFormat="1" x14ac:dyDescent="0.4">
      <c r="B21" s="68"/>
      <c r="C21" s="72" t="s">
        <v>457</v>
      </c>
      <c r="D21" s="76"/>
      <c r="E21" s="76"/>
      <c r="F21" s="72" t="s">
        <v>340</v>
      </c>
      <c r="G21" s="72" t="s">
        <v>91</v>
      </c>
      <c r="H21" s="72" t="s">
        <v>377</v>
      </c>
      <c r="I21" s="72">
        <v>13</v>
      </c>
      <c r="J21" s="72" t="s">
        <v>91</v>
      </c>
      <c r="K21" s="72" t="s">
        <v>91</v>
      </c>
      <c r="L21" s="72" t="s">
        <v>91</v>
      </c>
      <c r="M21" s="72" t="s">
        <v>91</v>
      </c>
      <c r="N21" s="72" t="s">
        <v>91</v>
      </c>
      <c r="O21" s="72" t="s">
        <v>91</v>
      </c>
      <c r="P21" s="72" t="s">
        <v>91</v>
      </c>
      <c r="Q21" s="72" t="s">
        <v>91</v>
      </c>
      <c r="R21" s="72" t="s">
        <v>91</v>
      </c>
      <c r="S21" s="72" t="s">
        <v>91</v>
      </c>
      <c r="T21" s="72" t="s">
        <v>91</v>
      </c>
      <c r="U21" s="72" t="s">
        <v>91</v>
      </c>
      <c r="V21" s="72" t="s">
        <v>91</v>
      </c>
      <c r="W21" s="72" t="s">
        <v>91</v>
      </c>
      <c r="X21" s="72" t="s">
        <v>91</v>
      </c>
      <c r="Y21" s="72" t="s">
        <v>91</v>
      </c>
      <c r="Z21" s="72" t="s">
        <v>91</v>
      </c>
      <c r="AA21" s="72" t="s">
        <v>91</v>
      </c>
      <c r="AB21" s="72" t="s">
        <v>91</v>
      </c>
      <c r="AC21" s="72" t="s">
        <v>91</v>
      </c>
      <c r="AD21" s="72"/>
    </row>
    <row r="22" spans="2:30" s="63" customFormat="1" x14ac:dyDescent="0.4">
      <c r="B22" s="68"/>
      <c r="C22" s="73" t="str">
        <f>F22&amp;"#"&amp;E22</f>
        <v>DEL#data#3</v>
      </c>
      <c r="D22" s="107"/>
      <c r="E22" s="89">
        <v>3</v>
      </c>
      <c r="F22" s="73" t="s">
        <v>386</v>
      </c>
      <c r="G22" s="72" t="s">
        <v>91</v>
      </c>
      <c r="H22" s="72" t="s">
        <v>91</v>
      </c>
      <c r="I22" s="72" t="s">
        <v>91</v>
      </c>
      <c r="J22" s="72" t="s">
        <v>91</v>
      </c>
      <c r="K22" s="72" t="s">
        <v>91</v>
      </c>
      <c r="L22" s="72" t="s">
        <v>91</v>
      </c>
      <c r="M22" s="72" t="s">
        <v>91</v>
      </c>
      <c r="N22" s="72" t="s">
        <v>91</v>
      </c>
      <c r="O22" s="72" t="s">
        <v>91</v>
      </c>
      <c r="P22" s="72" t="s">
        <v>91</v>
      </c>
      <c r="Q22" s="72" t="s">
        <v>91</v>
      </c>
      <c r="R22" s="72" t="s">
        <v>91</v>
      </c>
      <c r="S22" s="72" t="s">
        <v>91</v>
      </c>
      <c r="T22" s="72" t="s">
        <v>91</v>
      </c>
      <c r="U22" s="73" t="s">
        <v>398</v>
      </c>
      <c r="V22" s="72" t="s">
        <v>431</v>
      </c>
      <c r="W22" s="72" t="s">
        <v>91</v>
      </c>
      <c r="X22" s="72" t="s">
        <v>91</v>
      </c>
      <c r="Y22" s="72" t="s">
        <v>91</v>
      </c>
      <c r="Z22" s="72" t="s">
        <v>366</v>
      </c>
      <c r="AA22" s="72">
        <v>111</v>
      </c>
      <c r="AB22" s="73" t="s">
        <v>397</v>
      </c>
      <c r="AC22" s="73">
        <v>333</v>
      </c>
      <c r="AD22" s="72"/>
    </row>
    <row r="23" spans="2:30" s="63" customFormat="1" x14ac:dyDescent="0.4">
      <c r="B23" s="68"/>
      <c r="C23" s="73" t="s">
        <v>458</v>
      </c>
      <c r="D23" s="108"/>
      <c r="E23" s="76"/>
      <c r="F23" s="72" t="s">
        <v>340</v>
      </c>
      <c r="G23" s="72" t="s">
        <v>91</v>
      </c>
      <c r="H23" s="73" t="s">
        <v>438</v>
      </c>
      <c r="I23" s="72">
        <v>5</v>
      </c>
      <c r="J23" s="72" t="s">
        <v>91</v>
      </c>
      <c r="K23" s="72" t="s">
        <v>91</v>
      </c>
      <c r="L23" s="72" t="s">
        <v>91</v>
      </c>
      <c r="M23" s="72" t="s">
        <v>91</v>
      </c>
      <c r="N23" s="72" t="s">
        <v>91</v>
      </c>
      <c r="O23" s="72" t="s">
        <v>91</v>
      </c>
      <c r="P23" s="72" t="s">
        <v>91</v>
      </c>
      <c r="Q23" s="72" t="s">
        <v>91</v>
      </c>
      <c r="R23" s="72" t="s">
        <v>91</v>
      </c>
      <c r="S23" s="72" t="s">
        <v>91</v>
      </c>
      <c r="T23" s="72" t="s">
        <v>91</v>
      </c>
      <c r="U23" s="72" t="s">
        <v>91</v>
      </c>
      <c r="V23" s="72" t="s">
        <v>91</v>
      </c>
      <c r="W23" s="72" t="s">
        <v>91</v>
      </c>
      <c r="X23" s="72" t="s">
        <v>91</v>
      </c>
      <c r="Y23" s="72" t="s">
        <v>91</v>
      </c>
      <c r="Z23" s="72" t="s">
        <v>91</v>
      </c>
      <c r="AA23" s="72" t="s">
        <v>91</v>
      </c>
      <c r="AB23" s="72" t="s">
        <v>91</v>
      </c>
      <c r="AC23" s="72" t="s">
        <v>91</v>
      </c>
      <c r="AD23" s="72"/>
    </row>
    <row r="24" spans="2:30" s="63" customFormat="1" x14ac:dyDescent="0.4">
      <c r="B24" s="70"/>
      <c r="C24" s="70"/>
      <c r="D24" s="70"/>
      <c r="E24" s="75" t="s">
        <v>361</v>
      </c>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row>
    <row r="25" spans="2:30" s="63" customFormat="1" x14ac:dyDescent="0.4">
      <c r="B25" s="67" t="s">
        <v>372</v>
      </c>
      <c r="C25" s="71" t="str">
        <f>F25&amp;"#"&amp;E25</f>
        <v>latest_id#0</v>
      </c>
      <c r="D25" s="76"/>
      <c r="E25" s="76">
        <v>0</v>
      </c>
      <c r="F25" s="76" t="s">
        <v>362</v>
      </c>
      <c r="G25" s="76">
        <v>13</v>
      </c>
      <c r="H25" s="76" t="s">
        <v>355</v>
      </c>
      <c r="I25" s="76" t="s">
        <v>355</v>
      </c>
      <c r="J25" s="76" t="s">
        <v>91</v>
      </c>
      <c r="K25" s="76" t="s">
        <v>91</v>
      </c>
      <c r="L25" s="76" t="s">
        <v>91</v>
      </c>
      <c r="M25" s="76" t="s">
        <v>91</v>
      </c>
      <c r="N25" s="76" t="s">
        <v>91</v>
      </c>
      <c r="O25" s="76" t="s">
        <v>91</v>
      </c>
      <c r="P25" s="76" t="s">
        <v>91</v>
      </c>
      <c r="Q25" s="76" t="s">
        <v>91</v>
      </c>
      <c r="R25" s="76" t="s">
        <v>91</v>
      </c>
      <c r="S25" s="76" t="s">
        <v>91</v>
      </c>
      <c r="T25" s="76" t="s">
        <v>91</v>
      </c>
      <c r="U25" s="76" t="s">
        <v>91</v>
      </c>
      <c r="V25" s="76" t="s">
        <v>91</v>
      </c>
      <c r="W25" s="76" t="s">
        <v>91</v>
      </c>
      <c r="X25" s="76" t="s">
        <v>91</v>
      </c>
      <c r="Y25" s="76" t="s">
        <v>91</v>
      </c>
      <c r="Z25" s="76" t="s">
        <v>91</v>
      </c>
      <c r="AA25" s="76" t="s">
        <v>91</v>
      </c>
      <c r="AB25" s="76" t="s">
        <v>91</v>
      </c>
      <c r="AC25" s="76" t="s">
        <v>91</v>
      </c>
      <c r="AD25" s="76"/>
    </row>
    <row r="26" spans="2:30" s="63" customFormat="1" x14ac:dyDescent="0.4">
      <c r="B26" s="68"/>
      <c r="C26" s="72" t="str">
        <f>F26&amp;"#"&amp;E26</f>
        <v>data#1</v>
      </c>
      <c r="D26" s="89"/>
      <c r="E26" s="89">
        <v>1</v>
      </c>
      <c r="F26" s="72" t="s">
        <v>339</v>
      </c>
      <c r="G26" s="72" t="s">
        <v>91</v>
      </c>
      <c r="H26" s="72" t="s">
        <v>355</v>
      </c>
      <c r="I26" s="72" t="s">
        <v>355</v>
      </c>
      <c r="J26" s="72" t="s">
        <v>91</v>
      </c>
      <c r="K26" s="72" t="s">
        <v>91</v>
      </c>
      <c r="L26" s="72" t="s">
        <v>91</v>
      </c>
      <c r="M26" s="72" t="s">
        <v>91</v>
      </c>
      <c r="N26" s="72" t="s">
        <v>91</v>
      </c>
      <c r="O26" s="72" t="s">
        <v>91</v>
      </c>
      <c r="P26" s="72" t="s">
        <v>91</v>
      </c>
      <c r="Q26" s="72" t="s">
        <v>91</v>
      </c>
      <c r="R26" s="72" t="s">
        <v>91</v>
      </c>
      <c r="S26" s="72" t="s">
        <v>91</v>
      </c>
      <c r="T26" s="72" t="s">
        <v>91</v>
      </c>
      <c r="U26" s="72" t="s">
        <v>91</v>
      </c>
      <c r="V26" s="72" t="s">
        <v>91</v>
      </c>
      <c r="W26" s="72" t="s">
        <v>402</v>
      </c>
      <c r="X26" s="72" t="s">
        <v>404</v>
      </c>
      <c r="Y26" s="72" t="s">
        <v>403</v>
      </c>
      <c r="Z26" s="72" t="s">
        <v>366</v>
      </c>
      <c r="AA26" s="72">
        <v>111</v>
      </c>
      <c r="AB26" s="72" t="s">
        <v>366</v>
      </c>
      <c r="AC26" s="72">
        <v>222</v>
      </c>
      <c r="AD26" s="72"/>
    </row>
    <row r="27" spans="2:30" s="63" customFormat="1" x14ac:dyDescent="0.4">
      <c r="B27" s="68"/>
      <c r="C27" s="72" t="s">
        <v>444</v>
      </c>
      <c r="D27" s="68"/>
      <c r="E27" s="68"/>
      <c r="F27" s="89" t="s">
        <v>340</v>
      </c>
      <c r="G27" s="72" t="s">
        <v>91</v>
      </c>
      <c r="H27" s="72" t="s">
        <v>412</v>
      </c>
      <c r="I27" s="72">
        <v>3</v>
      </c>
      <c r="J27" s="72" t="s">
        <v>91</v>
      </c>
      <c r="K27" s="72" t="s">
        <v>91</v>
      </c>
      <c r="L27" s="72" t="s">
        <v>91</v>
      </c>
      <c r="M27" s="72" t="s">
        <v>91</v>
      </c>
      <c r="N27" s="72" t="s">
        <v>91</v>
      </c>
      <c r="O27" s="72" t="s">
        <v>91</v>
      </c>
      <c r="P27" s="72" t="s">
        <v>91</v>
      </c>
      <c r="Q27" s="72" t="s">
        <v>91</v>
      </c>
      <c r="R27" s="72" t="s">
        <v>91</v>
      </c>
      <c r="S27" s="72" t="s">
        <v>91</v>
      </c>
      <c r="T27" s="72" t="s">
        <v>91</v>
      </c>
      <c r="U27" s="72" t="s">
        <v>91</v>
      </c>
      <c r="V27" s="72" t="s">
        <v>91</v>
      </c>
      <c r="W27" s="72" t="s">
        <v>91</v>
      </c>
      <c r="X27" s="72" t="s">
        <v>91</v>
      </c>
      <c r="Y27" s="72" t="s">
        <v>91</v>
      </c>
      <c r="Z27" s="72" t="s">
        <v>91</v>
      </c>
      <c r="AA27" s="72" t="s">
        <v>91</v>
      </c>
      <c r="AB27" s="72" t="s">
        <v>91</v>
      </c>
      <c r="AC27" s="72" t="s">
        <v>91</v>
      </c>
      <c r="AD27" s="72"/>
    </row>
    <row r="28" spans="2:30" s="63" customFormat="1" x14ac:dyDescent="0.4">
      <c r="B28" s="68"/>
      <c r="C28" s="72" t="s">
        <v>445</v>
      </c>
      <c r="D28" s="68"/>
      <c r="E28" s="68"/>
      <c r="F28" s="68"/>
      <c r="G28" s="72"/>
      <c r="H28" s="72" t="s">
        <v>413</v>
      </c>
      <c r="I28" s="72">
        <v>1</v>
      </c>
      <c r="J28" s="72"/>
      <c r="K28" s="72"/>
      <c r="L28" s="72"/>
      <c r="M28" s="72"/>
      <c r="N28" s="72"/>
      <c r="O28" s="72"/>
      <c r="P28" s="72"/>
      <c r="Q28" s="72"/>
      <c r="R28" s="72"/>
      <c r="S28" s="72"/>
      <c r="T28" s="72"/>
      <c r="U28" s="72"/>
      <c r="V28" s="72"/>
      <c r="W28" s="72"/>
      <c r="X28" s="72"/>
      <c r="Y28" s="72"/>
      <c r="Z28" s="72"/>
      <c r="AA28" s="72"/>
      <c r="AB28" s="72"/>
      <c r="AC28" s="72"/>
      <c r="AD28" s="72"/>
    </row>
    <row r="29" spans="2:30" s="63" customFormat="1" x14ac:dyDescent="0.4">
      <c r="B29" s="68"/>
      <c r="C29" s="72" t="s">
        <v>446</v>
      </c>
      <c r="D29" s="68"/>
      <c r="E29" s="68"/>
      <c r="F29" s="76"/>
      <c r="G29" s="72"/>
      <c r="H29" s="72" t="s">
        <v>414</v>
      </c>
      <c r="I29" s="72">
        <v>4</v>
      </c>
      <c r="J29" s="72"/>
      <c r="K29" s="72"/>
      <c r="L29" s="72"/>
      <c r="M29" s="72"/>
      <c r="N29" s="72"/>
      <c r="O29" s="72"/>
      <c r="P29" s="72"/>
      <c r="Q29" s="72"/>
      <c r="R29" s="72"/>
      <c r="S29" s="72"/>
      <c r="T29" s="72"/>
      <c r="U29" s="72"/>
      <c r="V29" s="72"/>
      <c r="W29" s="72"/>
      <c r="X29" s="72"/>
      <c r="Y29" s="72"/>
      <c r="Z29" s="72"/>
      <c r="AA29" s="72"/>
      <c r="AB29" s="72"/>
      <c r="AC29" s="72"/>
      <c r="AD29" s="72"/>
    </row>
    <row r="30" spans="2:30" s="63" customFormat="1" x14ac:dyDescent="0.4">
      <c r="B30" s="68"/>
      <c r="C30" s="72" t="str">
        <f>F30&amp;"#"&amp;E30</f>
        <v>data#2</v>
      </c>
      <c r="D30" s="89"/>
      <c r="E30" s="89">
        <v>2</v>
      </c>
      <c r="F30" s="72" t="s">
        <v>339</v>
      </c>
      <c r="G30" s="72" t="s">
        <v>91</v>
      </c>
      <c r="H30" s="72" t="s">
        <v>355</v>
      </c>
      <c r="I30" s="72" t="s">
        <v>355</v>
      </c>
      <c r="J30" s="72" t="s">
        <v>91</v>
      </c>
      <c r="K30" s="72" t="s">
        <v>91</v>
      </c>
      <c r="L30" s="72" t="s">
        <v>91</v>
      </c>
      <c r="M30" s="72" t="s">
        <v>91</v>
      </c>
      <c r="N30" s="72" t="s">
        <v>91</v>
      </c>
      <c r="O30" s="72" t="s">
        <v>91</v>
      </c>
      <c r="P30" s="72" t="s">
        <v>91</v>
      </c>
      <c r="Q30" s="72" t="s">
        <v>91</v>
      </c>
      <c r="R30" s="72" t="s">
        <v>91</v>
      </c>
      <c r="S30" s="72" t="s">
        <v>91</v>
      </c>
      <c r="T30" s="72" t="s">
        <v>91</v>
      </c>
      <c r="U30" s="72" t="s">
        <v>91</v>
      </c>
      <c r="V30" s="72" t="s">
        <v>91</v>
      </c>
      <c r="W30" s="72" t="s">
        <v>405</v>
      </c>
      <c r="X30" s="72" t="s">
        <v>406</v>
      </c>
      <c r="Y30" s="72" t="s">
        <v>407</v>
      </c>
      <c r="Z30" s="72" t="s">
        <v>366</v>
      </c>
      <c r="AA30" s="72">
        <v>111</v>
      </c>
      <c r="AB30" s="72" t="s">
        <v>366</v>
      </c>
      <c r="AC30" s="72">
        <v>222</v>
      </c>
      <c r="AD30" s="72"/>
    </row>
    <row r="31" spans="2:30" s="63" customFormat="1" x14ac:dyDescent="0.4">
      <c r="B31" s="68"/>
      <c r="C31" s="72" t="s">
        <v>447</v>
      </c>
      <c r="D31" s="68"/>
      <c r="E31" s="68"/>
      <c r="F31" s="89" t="s">
        <v>340</v>
      </c>
      <c r="G31" s="72" t="s">
        <v>91</v>
      </c>
      <c r="H31" s="72" t="s">
        <v>412</v>
      </c>
      <c r="I31" s="72">
        <v>12</v>
      </c>
      <c r="J31" s="72" t="s">
        <v>91</v>
      </c>
      <c r="K31" s="72" t="s">
        <v>91</v>
      </c>
      <c r="L31" s="72" t="s">
        <v>91</v>
      </c>
      <c r="M31" s="72" t="s">
        <v>91</v>
      </c>
      <c r="N31" s="72" t="s">
        <v>91</v>
      </c>
      <c r="O31" s="72" t="s">
        <v>91</v>
      </c>
      <c r="P31" s="72" t="s">
        <v>91</v>
      </c>
      <c r="Q31" s="72" t="s">
        <v>91</v>
      </c>
      <c r="R31" s="72" t="s">
        <v>91</v>
      </c>
      <c r="S31" s="72" t="s">
        <v>91</v>
      </c>
      <c r="T31" s="72" t="s">
        <v>91</v>
      </c>
      <c r="U31" s="72" t="s">
        <v>91</v>
      </c>
      <c r="V31" s="72" t="s">
        <v>91</v>
      </c>
      <c r="W31" s="72" t="s">
        <v>91</v>
      </c>
      <c r="X31" s="72" t="s">
        <v>91</v>
      </c>
      <c r="Y31" s="72" t="s">
        <v>91</v>
      </c>
      <c r="Z31" s="72" t="s">
        <v>91</v>
      </c>
      <c r="AA31" s="72" t="s">
        <v>91</v>
      </c>
      <c r="AB31" s="72" t="s">
        <v>91</v>
      </c>
      <c r="AC31" s="72" t="s">
        <v>91</v>
      </c>
      <c r="AD31" s="72"/>
    </row>
    <row r="32" spans="2:30" s="63" customFormat="1" x14ac:dyDescent="0.4">
      <c r="B32" s="68"/>
      <c r="C32" s="72" t="s">
        <v>448</v>
      </c>
      <c r="D32" s="68"/>
      <c r="E32" s="68"/>
      <c r="F32" s="68"/>
      <c r="G32" s="72"/>
      <c r="H32" s="72" t="s">
        <v>413</v>
      </c>
      <c r="I32" s="72">
        <v>13</v>
      </c>
      <c r="J32" s="72"/>
      <c r="K32" s="72"/>
      <c r="L32" s="72"/>
      <c r="M32" s="72"/>
      <c r="N32" s="72"/>
      <c r="O32" s="72"/>
      <c r="P32" s="72"/>
      <c r="Q32" s="72"/>
      <c r="R32" s="72"/>
      <c r="S32" s="72"/>
      <c r="T32" s="72"/>
      <c r="U32" s="72"/>
      <c r="V32" s="72"/>
      <c r="W32" s="72"/>
      <c r="X32" s="72"/>
      <c r="Y32" s="72"/>
      <c r="Z32" s="72"/>
      <c r="AA32" s="72"/>
      <c r="AB32" s="72"/>
      <c r="AC32" s="72"/>
      <c r="AD32" s="72"/>
    </row>
    <row r="33" spans="2:30" s="63" customFormat="1" x14ac:dyDescent="0.4">
      <c r="B33" s="68"/>
      <c r="C33" s="72" t="s">
        <v>449</v>
      </c>
      <c r="D33" s="68"/>
      <c r="E33" s="68"/>
      <c r="F33" s="76"/>
      <c r="G33" s="72"/>
      <c r="H33" s="72" t="s">
        <v>414</v>
      </c>
      <c r="I33" s="72">
        <v>25</v>
      </c>
      <c r="J33" s="72"/>
      <c r="K33" s="72"/>
      <c r="L33" s="72"/>
      <c r="M33" s="72"/>
      <c r="N33" s="72"/>
      <c r="O33" s="72"/>
      <c r="P33" s="72"/>
      <c r="Q33" s="72"/>
      <c r="R33" s="72"/>
      <c r="S33" s="72"/>
      <c r="T33" s="72"/>
      <c r="U33" s="72"/>
      <c r="V33" s="72"/>
      <c r="W33" s="72"/>
      <c r="X33" s="72"/>
      <c r="Y33" s="72"/>
      <c r="Z33" s="72"/>
      <c r="AA33" s="72"/>
      <c r="AB33" s="72"/>
      <c r="AC33" s="72"/>
      <c r="AD33" s="72"/>
    </row>
    <row r="34" spans="2:30" s="63" customFormat="1" x14ac:dyDescent="0.4">
      <c r="B34" s="68"/>
      <c r="C34" s="73" t="str">
        <f>F34&amp;"#"&amp;E34</f>
        <v>DEL#data#3</v>
      </c>
      <c r="D34" s="107"/>
      <c r="E34" s="89">
        <v>3</v>
      </c>
      <c r="F34" s="73" t="s">
        <v>386</v>
      </c>
      <c r="G34" s="72" t="s">
        <v>91</v>
      </c>
      <c r="H34" s="72" t="s">
        <v>91</v>
      </c>
      <c r="I34" s="72" t="s">
        <v>91</v>
      </c>
      <c r="J34" s="72" t="s">
        <v>91</v>
      </c>
      <c r="K34" s="72" t="s">
        <v>91</v>
      </c>
      <c r="L34" s="72" t="s">
        <v>91</v>
      </c>
      <c r="M34" s="72" t="s">
        <v>91</v>
      </c>
      <c r="N34" s="72" t="s">
        <v>91</v>
      </c>
      <c r="O34" s="72" t="s">
        <v>91</v>
      </c>
      <c r="P34" s="72" t="s">
        <v>91</v>
      </c>
      <c r="Q34" s="72" t="s">
        <v>91</v>
      </c>
      <c r="R34" s="72" t="s">
        <v>91</v>
      </c>
      <c r="S34" s="72" t="s">
        <v>91</v>
      </c>
      <c r="T34" s="72" t="s">
        <v>91</v>
      </c>
      <c r="U34" s="72" t="s">
        <v>91</v>
      </c>
      <c r="V34" s="72" t="s">
        <v>91</v>
      </c>
      <c r="W34" s="72" t="s">
        <v>408</v>
      </c>
      <c r="X34" s="72" t="s">
        <v>409</v>
      </c>
      <c r="Y34" s="72" t="s">
        <v>410</v>
      </c>
      <c r="Z34" s="72" t="s">
        <v>366</v>
      </c>
      <c r="AA34" s="72">
        <v>111</v>
      </c>
      <c r="AB34" s="73" t="s">
        <v>397</v>
      </c>
      <c r="AC34" s="73">
        <v>333</v>
      </c>
      <c r="AD34" s="72"/>
    </row>
    <row r="35" spans="2:30" s="63" customFormat="1" x14ac:dyDescent="0.4">
      <c r="B35" s="68"/>
      <c r="C35" s="73" t="s">
        <v>460</v>
      </c>
      <c r="D35" s="69"/>
      <c r="E35" s="68"/>
      <c r="F35" s="89" t="s">
        <v>340</v>
      </c>
      <c r="G35" s="72" t="s">
        <v>91</v>
      </c>
      <c r="H35" s="73" t="s">
        <v>436</v>
      </c>
      <c r="I35" s="72">
        <v>9</v>
      </c>
      <c r="J35" s="72" t="s">
        <v>91</v>
      </c>
      <c r="K35" s="72" t="s">
        <v>91</v>
      </c>
      <c r="L35" s="72" t="s">
        <v>91</v>
      </c>
      <c r="M35" s="72" t="s">
        <v>91</v>
      </c>
      <c r="N35" s="72" t="s">
        <v>91</v>
      </c>
      <c r="O35" s="72" t="s">
        <v>91</v>
      </c>
      <c r="P35" s="72" t="s">
        <v>91</v>
      </c>
      <c r="Q35" s="72" t="s">
        <v>91</v>
      </c>
      <c r="R35" s="72" t="s">
        <v>91</v>
      </c>
      <c r="S35" s="72" t="s">
        <v>91</v>
      </c>
      <c r="T35" s="72" t="s">
        <v>91</v>
      </c>
      <c r="U35" s="72" t="s">
        <v>91</v>
      </c>
      <c r="V35" s="72" t="s">
        <v>91</v>
      </c>
      <c r="W35" s="72" t="s">
        <v>91</v>
      </c>
      <c r="X35" s="72" t="s">
        <v>91</v>
      </c>
      <c r="Y35" s="72" t="s">
        <v>91</v>
      </c>
      <c r="Z35" s="72" t="s">
        <v>91</v>
      </c>
      <c r="AA35" s="72" t="s">
        <v>91</v>
      </c>
      <c r="AB35" s="72" t="s">
        <v>91</v>
      </c>
      <c r="AC35" s="72" t="s">
        <v>91</v>
      </c>
      <c r="AD35" s="72"/>
    </row>
    <row r="36" spans="2:30" s="63" customFormat="1" x14ac:dyDescent="0.4">
      <c r="B36" s="68"/>
      <c r="C36" s="73" t="s">
        <v>461</v>
      </c>
      <c r="D36" s="69"/>
      <c r="E36" s="68"/>
      <c r="F36" s="68"/>
      <c r="G36" s="72"/>
      <c r="H36" s="73" t="s">
        <v>437</v>
      </c>
      <c r="I36" s="72">
        <v>2</v>
      </c>
      <c r="J36" s="72"/>
      <c r="K36" s="72"/>
      <c r="L36" s="72"/>
      <c r="M36" s="72"/>
      <c r="N36" s="72"/>
      <c r="O36" s="72"/>
      <c r="P36" s="72"/>
      <c r="Q36" s="72"/>
      <c r="R36" s="72"/>
      <c r="S36" s="72"/>
      <c r="T36" s="72"/>
      <c r="U36" s="72"/>
      <c r="V36" s="72"/>
      <c r="W36" s="72"/>
      <c r="X36" s="72"/>
      <c r="Y36" s="72"/>
      <c r="Z36" s="72"/>
      <c r="AA36" s="72"/>
      <c r="AB36" s="72"/>
      <c r="AC36" s="72"/>
      <c r="AD36" s="72"/>
    </row>
    <row r="37" spans="2:30" s="63" customFormat="1" x14ac:dyDescent="0.4">
      <c r="B37" s="68"/>
      <c r="C37" s="73" t="s">
        <v>462</v>
      </c>
      <c r="D37" s="69"/>
      <c r="E37" s="68"/>
      <c r="F37" s="76"/>
      <c r="G37" s="72"/>
      <c r="H37" s="73" t="s">
        <v>453</v>
      </c>
      <c r="I37" s="72">
        <v>11</v>
      </c>
      <c r="J37" s="72"/>
      <c r="K37" s="72"/>
      <c r="L37" s="72"/>
      <c r="M37" s="72"/>
      <c r="N37" s="72"/>
      <c r="O37" s="72"/>
      <c r="P37" s="72"/>
      <c r="Q37" s="72"/>
      <c r="R37" s="72"/>
      <c r="S37" s="72"/>
      <c r="T37" s="72"/>
      <c r="U37" s="72"/>
      <c r="V37" s="72"/>
      <c r="W37" s="72"/>
      <c r="X37" s="72"/>
      <c r="Y37" s="72"/>
      <c r="Z37" s="72"/>
      <c r="AA37" s="72"/>
      <c r="AB37" s="72"/>
      <c r="AC37" s="72"/>
      <c r="AD37" s="72"/>
    </row>
    <row r="38" spans="2:30" x14ac:dyDescent="0.4">
      <c r="B38" s="68"/>
      <c r="C38" s="68"/>
      <c r="D38" s="68"/>
      <c r="E38" s="72" t="s">
        <v>361</v>
      </c>
      <c r="F38" s="72"/>
      <c r="G38" s="72"/>
      <c r="H38" s="52"/>
      <c r="I38" s="52"/>
      <c r="J38" s="72"/>
      <c r="K38" s="72"/>
      <c r="L38" s="72"/>
      <c r="M38" s="72"/>
      <c r="N38" s="72"/>
      <c r="O38" s="72"/>
      <c r="P38" s="72"/>
      <c r="Q38" s="72"/>
      <c r="R38" s="72"/>
      <c r="S38" s="72"/>
      <c r="T38" s="72"/>
      <c r="U38" s="52"/>
      <c r="V38" s="52"/>
      <c r="W38" s="52"/>
      <c r="X38" s="52"/>
      <c r="Y38" s="52"/>
      <c r="Z38" s="52"/>
      <c r="AA38" s="52"/>
      <c r="AB38" s="52"/>
      <c r="AC38" s="52"/>
      <c r="AD38" s="52"/>
    </row>
    <row r="39" spans="2:30" x14ac:dyDescent="0.4">
      <c r="B39" s="70"/>
      <c r="C39" s="70"/>
      <c r="D39" s="70"/>
      <c r="E39" s="75"/>
      <c r="F39" s="75"/>
      <c r="G39" s="75"/>
      <c r="H39" s="54"/>
      <c r="I39" s="54"/>
      <c r="J39" s="75"/>
      <c r="K39" s="54"/>
      <c r="L39" s="54"/>
      <c r="M39" s="54"/>
      <c r="N39" s="54"/>
      <c r="O39" s="54"/>
      <c r="P39" s="54"/>
      <c r="Q39" s="54"/>
      <c r="R39" s="54"/>
      <c r="S39" s="54"/>
      <c r="T39" s="54"/>
      <c r="U39" s="54"/>
      <c r="V39" s="54"/>
      <c r="W39" s="54"/>
      <c r="X39" s="54"/>
      <c r="Y39" s="54"/>
      <c r="Z39" s="54"/>
      <c r="AA39" s="54"/>
      <c r="AB39" s="54"/>
      <c r="AC39" s="54"/>
      <c r="AD39" s="54"/>
    </row>
  </sheetData>
  <mergeCells count="4">
    <mergeCell ref="J2:T2"/>
    <mergeCell ref="U2:V2"/>
    <mergeCell ref="W2:Y2"/>
    <mergeCell ref="Z2:AC2"/>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ER図</vt:lpstr>
      <vt:lpstr>RDB_テーブル定義一覧</vt:lpstr>
      <vt:lpstr>DynamoDB_テーブル定義一覧_MultiTable</vt:lpstr>
      <vt:lpstr>DynamoDB_テーブル定義一覧_SingleTable</vt:lpstr>
      <vt:lpstr>Sheet2</vt:lpstr>
      <vt:lpstr>dynamodb.api</vt:lpstr>
      <vt:lpstr>query.options</vt:lpstr>
      <vt:lpstr>Sheet5</vt:lpstr>
      <vt:lpstr>設定画面</vt:lpstr>
      <vt:lpstr>GraphQL-API_DB設計</vt:lpstr>
      <vt:lpstr>bkup_20231129_1552</vt:lpstr>
      <vt:lpstr>bkup_20231130_1804</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transcosmos staff</dc:creator>
  <cp:lastModifiedBy>山路 祐一郎</cp:lastModifiedBy>
  <dcterms:created xsi:type="dcterms:W3CDTF">2023-11-04T03:25:29Z</dcterms:created>
  <dcterms:modified xsi:type="dcterms:W3CDTF">2024-04-29T07:22:07Z</dcterms:modified>
</cp:coreProperties>
</file>